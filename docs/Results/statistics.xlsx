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oman\PycharmProjects\bachelorThesis\docs\Results\"/>
    </mc:Choice>
  </mc:AlternateContent>
  <xr:revisionPtr revIDLastSave="0" documentId="13_ncr:1_{34E30FDE-811A-4380-A463-784634322F36}" xr6:coauthVersionLast="47" xr6:coauthVersionMax="47" xr10:uidLastSave="{00000000-0000-0000-0000-000000000000}"/>
  <bookViews>
    <workbookView xWindow="-18120" yWindow="-120" windowWidth="18240" windowHeight="29040" xr2:uid="{7C4E5B27-5A65-4098-B759-66245AD6C378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309" i="1" l="1"/>
  <c r="AT310" i="1"/>
  <c r="AT311" i="1" s="1"/>
  <c r="AT312" i="1" s="1"/>
  <c r="AT313" i="1" s="1"/>
  <c r="AT314" i="1" s="1"/>
  <c r="AT315" i="1" s="1"/>
  <c r="AT316" i="1" s="1"/>
  <c r="AT317" i="1" s="1"/>
  <c r="AT318" i="1" s="1"/>
  <c r="AT338" i="1"/>
  <c r="AT339" i="1"/>
  <c r="AT340" i="1" s="1"/>
  <c r="AT341" i="1" s="1"/>
  <c r="AT342" i="1" s="1"/>
  <c r="AT343" i="1" s="1"/>
  <c r="AT344" i="1" s="1"/>
  <c r="AT345" i="1" s="1"/>
  <c r="AT346" i="1" s="1"/>
  <c r="AT347" i="1" s="1"/>
  <c r="AT337" i="1"/>
  <c r="AT336" i="1"/>
  <c r="AT307" i="1"/>
  <c r="AT308" i="1"/>
  <c r="AS376" i="1"/>
  <c r="AT366" i="1"/>
  <c r="AT368" i="1" s="1"/>
  <c r="AT369" i="1" s="1"/>
  <c r="AT370" i="1" s="1"/>
  <c r="AT371" i="1" s="1"/>
  <c r="AT372" i="1" s="1"/>
  <c r="AT373" i="1" s="1"/>
  <c r="AT374" i="1" s="1"/>
  <c r="AT375" i="1" s="1"/>
  <c r="AT364" i="1"/>
  <c r="AT365" i="1" s="1"/>
  <c r="AQ354" i="1"/>
  <c r="AQ355" i="1"/>
  <c r="AQ356" i="1" s="1"/>
  <c r="AQ357" i="1" s="1"/>
  <c r="AQ358" i="1" s="1"/>
  <c r="AQ359" i="1" s="1"/>
  <c r="AQ360" i="1" s="1"/>
  <c r="AQ361" i="1" s="1"/>
  <c r="AQ362" i="1" s="1"/>
  <c r="AQ363" i="1" s="1"/>
  <c r="AQ364" i="1" s="1"/>
  <c r="AQ365" i="1" s="1"/>
  <c r="AQ366" i="1" s="1"/>
  <c r="AQ367" i="1" s="1"/>
  <c r="AQ368" i="1" s="1"/>
  <c r="AQ369" i="1" s="1"/>
  <c r="AQ370" i="1" s="1"/>
  <c r="AQ371" i="1" s="1"/>
  <c r="AQ372" i="1" s="1"/>
  <c r="AQ373" i="1" s="1"/>
  <c r="AQ374" i="1" s="1"/>
  <c r="AQ375" i="1" s="1"/>
  <c r="AQ352" i="1"/>
  <c r="AQ353" i="1"/>
  <c r="AN366" i="1"/>
  <c r="AN367" i="1" s="1"/>
  <c r="AN368" i="1" s="1"/>
  <c r="AN369" i="1" s="1"/>
  <c r="AN370" i="1" s="1"/>
  <c r="AN371" i="1" s="1"/>
  <c r="AN372" i="1" s="1"/>
  <c r="AN373" i="1" s="1"/>
  <c r="AN374" i="1" s="1"/>
  <c r="AN375" i="1" s="1"/>
  <c r="AN364" i="1"/>
  <c r="AN365" i="1" s="1"/>
  <c r="AM376" i="1"/>
  <c r="AK354" i="1"/>
  <c r="AK355" i="1" s="1"/>
  <c r="AK356" i="1" s="1"/>
  <c r="AK357" i="1" s="1"/>
  <c r="AK358" i="1" s="1"/>
  <c r="AK359" i="1" s="1"/>
  <c r="AK360" i="1" s="1"/>
  <c r="AK361" i="1" s="1"/>
  <c r="AK362" i="1" s="1"/>
  <c r="AK363" i="1" s="1"/>
  <c r="AK364" i="1" s="1"/>
  <c r="AK365" i="1" s="1"/>
  <c r="AK366" i="1" s="1"/>
  <c r="AK367" i="1" s="1"/>
  <c r="AK368" i="1" s="1"/>
  <c r="AK369" i="1" s="1"/>
  <c r="AK370" i="1" s="1"/>
  <c r="AK371" i="1" s="1"/>
  <c r="AK372" i="1" s="1"/>
  <c r="AK373" i="1" s="1"/>
  <c r="AK374" i="1" s="1"/>
  <c r="AK375" i="1" s="1"/>
  <c r="AK352" i="1"/>
  <c r="AK353" i="1" s="1"/>
  <c r="AG376" i="1"/>
  <c r="AH366" i="1"/>
  <c r="AH367" i="1" s="1"/>
  <c r="AH368" i="1" s="1"/>
  <c r="AH369" i="1" s="1"/>
  <c r="AH370" i="1" s="1"/>
  <c r="AH371" i="1" s="1"/>
  <c r="AH372" i="1" s="1"/>
  <c r="AH373" i="1" s="1"/>
  <c r="AH374" i="1" s="1"/>
  <c r="AH375" i="1" s="1"/>
  <c r="AH364" i="1"/>
  <c r="AH365" i="1" s="1"/>
  <c r="AH336" i="1"/>
  <c r="AE363" i="1"/>
  <c r="AE354" i="1"/>
  <c r="AE355" i="1"/>
  <c r="AE356" i="1" s="1"/>
  <c r="AE357" i="1" s="1"/>
  <c r="AE358" i="1" s="1"/>
  <c r="AE359" i="1" s="1"/>
  <c r="AE360" i="1" s="1"/>
  <c r="AE361" i="1" s="1"/>
  <c r="AE362" i="1" s="1"/>
  <c r="AE364" i="1" s="1"/>
  <c r="AE365" i="1" s="1"/>
  <c r="AE366" i="1" s="1"/>
  <c r="AE367" i="1" s="1"/>
  <c r="AE368" i="1" s="1"/>
  <c r="AE369" i="1" s="1"/>
  <c r="AE370" i="1" s="1"/>
  <c r="AE371" i="1" s="1"/>
  <c r="AE372" i="1" s="1"/>
  <c r="AE373" i="1" s="1"/>
  <c r="AE374" i="1" s="1"/>
  <c r="AE375" i="1" s="1"/>
  <c r="AE353" i="1"/>
  <c r="AE352" i="1"/>
  <c r="AC354" i="1"/>
  <c r="AC355" i="1" s="1"/>
  <c r="AC356" i="1" s="1"/>
  <c r="AC357" i="1" s="1"/>
  <c r="AC358" i="1" s="1"/>
  <c r="AC359" i="1" s="1"/>
  <c r="AC360" i="1" s="1"/>
  <c r="AC361" i="1" s="1"/>
  <c r="AC362" i="1" s="1"/>
  <c r="AC363" i="1" s="1"/>
  <c r="AC364" i="1" s="1"/>
  <c r="AC365" i="1" s="1"/>
  <c r="AC366" i="1" s="1"/>
  <c r="AC367" i="1" s="1"/>
  <c r="AC368" i="1" s="1"/>
  <c r="AC369" i="1" s="1"/>
  <c r="AC370" i="1" s="1"/>
  <c r="AC371" i="1" s="1"/>
  <c r="AC372" i="1" s="1"/>
  <c r="AC373" i="1" s="1"/>
  <c r="AC374" i="1" s="1"/>
  <c r="AC375" i="1" s="1"/>
  <c r="AC352" i="1"/>
  <c r="AC353" i="1" s="1"/>
  <c r="AB376" i="1"/>
  <c r="AN309" i="1"/>
  <c r="AN310" i="1" s="1"/>
  <c r="AN311" i="1" s="1"/>
  <c r="AN312" i="1" s="1"/>
  <c r="AN313" i="1" s="1"/>
  <c r="AN314" i="1" s="1"/>
  <c r="AN315" i="1" s="1"/>
  <c r="AN316" i="1" s="1"/>
  <c r="AN317" i="1" s="1"/>
  <c r="AN318" i="1" s="1"/>
  <c r="AN308" i="1"/>
  <c r="AN307" i="1"/>
  <c r="AM319" i="1"/>
  <c r="AT283" i="1"/>
  <c r="AS348" i="1"/>
  <c r="AQ324" i="1"/>
  <c r="AQ325" i="1" s="1"/>
  <c r="AQ326" i="1" s="1"/>
  <c r="AQ327" i="1" s="1"/>
  <c r="AQ328" i="1" s="1"/>
  <c r="AQ329" i="1" s="1"/>
  <c r="AQ330" i="1" s="1"/>
  <c r="AQ331" i="1" s="1"/>
  <c r="AQ332" i="1" s="1"/>
  <c r="AQ333" i="1" s="1"/>
  <c r="AQ334" i="1" s="1"/>
  <c r="AQ335" i="1" s="1"/>
  <c r="AQ336" i="1" s="1"/>
  <c r="AQ337" i="1" s="1"/>
  <c r="AQ338" i="1" s="1"/>
  <c r="AQ339" i="1" s="1"/>
  <c r="AQ340" i="1" s="1"/>
  <c r="AQ341" i="1" s="1"/>
  <c r="AQ342" i="1" s="1"/>
  <c r="AQ343" i="1" s="1"/>
  <c r="AQ344" i="1" s="1"/>
  <c r="AQ345" i="1" s="1"/>
  <c r="AQ346" i="1" s="1"/>
  <c r="AQ347" i="1" s="1"/>
  <c r="AM348" i="1"/>
  <c r="AN338" i="1"/>
  <c r="AN339" i="1" s="1"/>
  <c r="AN340" i="1" s="1"/>
  <c r="AN341" i="1" s="1"/>
  <c r="AN342" i="1" s="1"/>
  <c r="AN343" i="1" s="1"/>
  <c r="AN344" i="1" s="1"/>
  <c r="AN345" i="1" s="1"/>
  <c r="AN346" i="1" s="1"/>
  <c r="AN347" i="1" s="1"/>
  <c r="AH337" i="1"/>
  <c r="AN336" i="1"/>
  <c r="AN337" i="1" s="1"/>
  <c r="AK324" i="1"/>
  <c r="AK325" i="1" s="1"/>
  <c r="AK326" i="1" s="1"/>
  <c r="AK327" i="1" s="1"/>
  <c r="AK328" i="1" s="1"/>
  <c r="AK329" i="1" s="1"/>
  <c r="AK330" i="1" s="1"/>
  <c r="AK331" i="1" s="1"/>
  <c r="AK332" i="1" s="1"/>
  <c r="AK333" i="1" s="1"/>
  <c r="AK334" i="1" s="1"/>
  <c r="AK335" i="1" s="1"/>
  <c r="AK336" i="1" s="1"/>
  <c r="AK337" i="1" s="1"/>
  <c r="AK338" i="1" s="1"/>
  <c r="AK339" i="1" s="1"/>
  <c r="AK340" i="1" s="1"/>
  <c r="AK341" i="1" s="1"/>
  <c r="AK342" i="1" s="1"/>
  <c r="AK343" i="1" s="1"/>
  <c r="AK344" i="1" s="1"/>
  <c r="AK345" i="1" s="1"/>
  <c r="AK346" i="1" s="1"/>
  <c r="AK347" i="1" s="1"/>
  <c r="AG348" i="1"/>
  <c r="AH338" i="1"/>
  <c r="AH339" i="1" s="1"/>
  <c r="AH340" i="1" s="1"/>
  <c r="AH341" i="1" s="1"/>
  <c r="AH342" i="1" s="1"/>
  <c r="AH343" i="1" s="1"/>
  <c r="AH344" i="1" s="1"/>
  <c r="AH345" i="1" s="1"/>
  <c r="AH346" i="1" s="1"/>
  <c r="AH347" i="1" s="1"/>
  <c r="AE326" i="1"/>
  <c r="AE327" i="1" s="1"/>
  <c r="AE328" i="1" s="1"/>
  <c r="AE329" i="1" s="1"/>
  <c r="AE330" i="1" s="1"/>
  <c r="AE331" i="1" s="1"/>
  <c r="AE332" i="1" s="1"/>
  <c r="AE333" i="1" s="1"/>
  <c r="AE334" i="1" s="1"/>
  <c r="AE335" i="1" s="1"/>
  <c r="AE336" i="1" s="1"/>
  <c r="AE337" i="1" s="1"/>
  <c r="AE338" i="1" s="1"/>
  <c r="AE339" i="1" s="1"/>
  <c r="AE340" i="1" s="1"/>
  <c r="AE341" i="1" s="1"/>
  <c r="AE342" i="1" s="1"/>
  <c r="AE343" i="1" s="1"/>
  <c r="AE344" i="1" s="1"/>
  <c r="AE345" i="1" s="1"/>
  <c r="AE346" i="1" s="1"/>
  <c r="AE347" i="1" s="1"/>
  <c r="AE325" i="1"/>
  <c r="AE324" i="1"/>
  <c r="AB348" i="1"/>
  <c r="AC326" i="1"/>
  <c r="AC327" i="1"/>
  <c r="AC328" i="1" s="1"/>
  <c r="AC329" i="1" s="1"/>
  <c r="AC330" i="1" s="1"/>
  <c r="AC331" i="1" s="1"/>
  <c r="AC332" i="1" s="1"/>
  <c r="AC333" i="1" s="1"/>
  <c r="AC334" i="1" s="1"/>
  <c r="AC335" i="1" s="1"/>
  <c r="AC336" i="1" s="1"/>
  <c r="AC337" i="1" s="1"/>
  <c r="AC338" i="1" s="1"/>
  <c r="AC339" i="1" s="1"/>
  <c r="AC340" i="1" s="1"/>
  <c r="AC341" i="1" s="1"/>
  <c r="AC342" i="1" s="1"/>
  <c r="AC343" i="1" s="1"/>
  <c r="AC344" i="1" s="1"/>
  <c r="AC345" i="1" s="1"/>
  <c r="AC346" i="1" s="1"/>
  <c r="AC347" i="1" s="1"/>
  <c r="AC325" i="1"/>
  <c r="AC324" i="1"/>
  <c r="AS319" i="1"/>
  <c r="AQ295" i="1"/>
  <c r="AQ296" i="1" s="1"/>
  <c r="AQ297" i="1" s="1"/>
  <c r="AQ298" i="1" s="1"/>
  <c r="AQ299" i="1" s="1"/>
  <c r="AQ300" i="1" s="1"/>
  <c r="AQ301" i="1" s="1"/>
  <c r="AQ302" i="1" s="1"/>
  <c r="AQ303" i="1" s="1"/>
  <c r="AQ304" i="1" s="1"/>
  <c r="AQ305" i="1" s="1"/>
  <c r="AQ306" i="1" s="1"/>
  <c r="AK295" i="1"/>
  <c r="AK296" i="1" s="1"/>
  <c r="AK297" i="1" s="1"/>
  <c r="AK298" i="1" s="1"/>
  <c r="AK299" i="1" s="1"/>
  <c r="AK300" i="1" s="1"/>
  <c r="AK301" i="1" s="1"/>
  <c r="AK302" i="1" s="1"/>
  <c r="AK303" i="1" s="1"/>
  <c r="AK304" i="1" s="1"/>
  <c r="AK305" i="1" s="1"/>
  <c r="AK306" i="1" s="1"/>
  <c r="AK307" i="1" s="1"/>
  <c r="AK308" i="1" s="1"/>
  <c r="AK309" i="1" s="1"/>
  <c r="AK310" i="1" s="1"/>
  <c r="AK311" i="1" s="1"/>
  <c r="AK312" i="1" s="1"/>
  <c r="AK313" i="1" s="1"/>
  <c r="AK314" i="1" s="1"/>
  <c r="AK315" i="1" s="1"/>
  <c r="AK316" i="1" s="1"/>
  <c r="AK317" i="1" s="1"/>
  <c r="AK318" i="1" s="1"/>
  <c r="AG319" i="1"/>
  <c r="AE295" i="1"/>
  <c r="AE296" i="1" s="1"/>
  <c r="AE297" i="1" s="1"/>
  <c r="AE298" i="1" s="1"/>
  <c r="AE299" i="1" s="1"/>
  <c r="AE300" i="1" s="1"/>
  <c r="AE301" i="1" s="1"/>
  <c r="AE302" i="1" s="1"/>
  <c r="AE303" i="1" s="1"/>
  <c r="AE304" i="1" s="1"/>
  <c r="AE305" i="1" s="1"/>
  <c r="AE306" i="1" s="1"/>
  <c r="AC295" i="1"/>
  <c r="AC296" i="1" s="1"/>
  <c r="AC297" i="1" s="1"/>
  <c r="AC298" i="1" s="1"/>
  <c r="AC299" i="1" s="1"/>
  <c r="AC300" i="1" s="1"/>
  <c r="AC301" i="1" s="1"/>
  <c r="AC302" i="1" s="1"/>
  <c r="AC303" i="1" s="1"/>
  <c r="AC304" i="1" s="1"/>
  <c r="AC305" i="1" s="1"/>
  <c r="AC306" i="1" s="1"/>
  <c r="AC307" i="1" s="1"/>
  <c r="AC308" i="1" s="1"/>
  <c r="AC309" i="1" s="1"/>
  <c r="AC310" i="1" s="1"/>
  <c r="AC311" i="1" s="1"/>
  <c r="AC312" i="1" s="1"/>
  <c r="AC313" i="1" s="1"/>
  <c r="AC314" i="1" s="1"/>
  <c r="AC315" i="1" s="1"/>
  <c r="AC316" i="1" s="1"/>
  <c r="AC317" i="1" s="1"/>
  <c r="AC318" i="1" s="1"/>
  <c r="AB319" i="1"/>
  <c r="AS290" i="1"/>
  <c r="AQ266" i="1"/>
  <c r="AQ267" i="1" s="1"/>
  <c r="AQ268" i="1" s="1"/>
  <c r="AQ269" i="1" s="1"/>
  <c r="AQ270" i="1" s="1"/>
  <c r="AQ271" i="1" s="1"/>
  <c r="AQ272" i="1" s="1"/>
  <c r="AQ273" i="1" s="1"/>
  <c r="AQ274" i="1" s="1"/>
  <c r="AQ275" i="1" s="1"/>
  <c r="AQ276" i="1" s="1"/>
  <c r="AQ277" i="1" s="1"/>
  <c r="AM290" i="1"/>
  <c r="AG290" i="1"/>
  <c r="AK266" i="1"/>
  <c r="AK267" i="1" s="1"/>
  <c r="AK268" i="1" s="1"/>
  <c r="AK269" i="1" s="1"/>
  <c r="AK270" i="1" s="1"/>
  <c r="AK271" i="1" s="1"/>
  <c r="AK272" i="1" s="1"/>
  <c r="AK273" i="1" s="1"/>
  <c r="AK274" i="1" s="1"/>
  <c r="AK275" i="1" s="1"/>
  <c r="AK276" i="1" s="1"/>
  <c r="AK277" i="1" s="1"/>
  <c r="AE266" i="1"/>
  <c r="AE267" i="1" s="1"/>
  <c r="AB290" i="1"/>
  <c r="AC266" i="1"/>
  <c r="AC267" i="1" s="1"/>
  <c r="AC268" i="1" s="1"/>
  <c r="AC269" i="1" s="1"/>
  <c r="AC270" i="1" s="1"/>
  <c r="AC271" i="1" s="1"/>
  <c r="AC272" i="1" s="1"/>
  <c r="AC273" i="1" s="1"/>
  <c r="AC274" i="1" s="1"/>
  <c r="AC275" i="1" s="1"/>
  <c r="AC276" i="1" s="1"/>
  <c r="AC277" i="1" s="1"/>
  <c r="AC278" i="1" s="1"/>
  <c r="AC279" i="1" s="1"/>
  <c r="AC280" i="1" s="1"/>
  <c r="AC281" i="1" s="1"/>
  <c r="AC282" i="1" s="1"/>
  <c r="AC283" i="1" s="1"/>
  <c r="AC284" i="1" s="1"/>
  <c r="AC285" i="1" s="1"/>
  <c r="AC286" i="1" s="1"/>
  <c r="AC287" i="1" s="1"/>
  <c r="AC288" i="1" s="1"/>
  <c r="AC289" i="1" s="1"/>
  <c r="BL234" i="1"/>
  <c r="BL235" i="1" s="1"/>
  <c r="BL236" i="1" s="1"/>
  <c r="BL237" i="1" s="1"/>
  <c r="BL238" i="1" s="1"/>
  <c r="BL239" i="1" s="1"/>
  <c r="BL240" i="1" s="1"/>
  <c r="BL241" i="1" s="1"/>
  <c r="BL242" i="1" s="1"/>
  <c r="BL243" i="1" s="1"/>
  <c r="BL244" i="1" s="1"/>
  <c r="BL245" i="1" s="1"/>
  <c r="BL246" i="1" s="1"/>
  <c r="BL247" i="1" s="1"/>
  <c r="BL248" i="1" s="1"/>
  <c r="BL249" i="1" s="1"/>
  <c r="BL250" i="1" s="1"/>
  <c r="BL251" i="1" s="1"/>
  <c r="BL252" i="1" s="1"/>
  <c r="BL253" i="1" s="1"/>
  <c r="BL254" i="1" s="1"/>
  <c r="BL255" i="1" s="1"/>
  <c r="BL256" i="1" s="1"/>
  <c r="BL257" i="1" s="1"/>
  <c r="BL258" i="1" s="1"/>
  <c r="BL208" i="1"/>
  <c r="BL209" i="1" s="1"/>
  <c r="BL210" i="1" s="1"/>
  <c r="BL211" i="1" s="1"/>
  <c r="BL212" i="1" s="1"/>
  <c r="BL213" i="1" s="1"/>
  <c r="BL214" i="1" s="1"/>
  <c r="BL215" i="1" s="1"/>
  <c r="BL216" i="1" s="1"/>
  <c r="BL217" i="1" s="1"/>
  <c r="BL218" i="1" s="1"/>
  <c r="BL219" i="1" s="1"/>
  <c r="BL220" i="1" s="1"/>
  <c r="BL221" i="1" s="1"/>
  <c r="BL222" i="1" s="1"/>
  <c r="BL223" i="1" s="1"/>
  <c r="BL224" i="1" s="1"/>
  <c r="BL225" i="1" s="1"/>
  <c r="BL226" i="1" s="1"/>
  <c r="BL227" i="1" s="1"/>
  <c r="BL228" i="1" s="1"/>
  <c r="BL229" i="1" s="1"/>
  <c r="BL230" i="1" s="1"/>
  <c r="BL231" i="1" s="1"/>
  <c r="BL232" i="1" s="1"/>
  <c r="BF235" i="1"/>
  <c r="BF236" i="1" s="1"/>
  <c r="BF237" i="1" s="1"/>
  <c r="BF238" i="1" s="1"/>
  <c r="BF239" i="1" s="1"/>
  <c r="BF240" i="1" s="1"/>
  <c r="BF241" i="1" s="1"/>
  <c r="BF242" i="1" s="1"/>
  <c r="BF243" i="1" s="1"/>
  <c r="BF244" i="1" s="1"/>
  <c r="BF245" i="1" s="1"/>
  <c r="BF246" i="1" s="1"/>
  <c r="BF247" i="1" s="1"/>
  <c r="BF248" i="1" s="1"/>
  <c r="BF249" i="1" s="1"/>
  <c r="BF250" i="1" s="1"/>
  <c r="BF251" i="1" s="1"/>
  <c r="BF252" i="1" s="1"/>
  <c r="BF253" i="1" s="1"/>
  <c r="BF254" i="1" s="1"/>
  <c r="BF255" i="1" s="1"/>
  <c r="BF256" i="1" s="1"/>
  <c r="BF257" i="1" s="1"/>
  <c r="BF258" i="1" s="1"/>
  <c r="BF234" i="1"/>
  <c r="BF208" i="1"/>
  <c r="BF209" i="1" s="1"/>
  <c r="BF210" i="1" s="1"/>
  <c r="BF211" i="1" s="1"/>
  <c r="BF212" i="1" s="1"/>
  <c r="BF213" i="1" s="1"/>
  <c r="BF214" i="1" s="1"/>
  <c r="BF215" i="1" s="1"/>
  <c r="BF216" i="1" s="1"/>
  <c r="BF217" i="1" s="1"/>
  <c r="BF218" i="1" s="1"/>
  <c r="BF219" i="1" s="1"/>
  <c r="BF220" i="1" s="1"/>
  <c r="BF221" i="1" s="1"/>
  <c r="BF222" i="1" s="1"/>
  <c r="BF223" i="1" s="1"/>
  <c r="BF224" i="1" s="1"/>
  <c r="BF225" i="1" s="1"/>
  <c r="BF226" i="1" s="1"/>
  <c r="BF227" i="1" s="1"/>
  <c r="BF228" i="1" s="1"/>
  <c r="BF229" i="1" s="1"/>
  <c r="BF230" i="1" s="1"/>
  <c r="BF231" i="1" s="1"/>
  <c r="BF232" i="1" s="1"/>
  <c r="AZ235" i="1"/>
  <c r="AZ236" i="1" s="1"/>
  <c r="AZ237" i="1" s="1"/>
  <c r="AZ238" i="1" s="1"/>
  <c r="AZ239" i="1" s="1"/>
  <c r="AZ240" i="1" s="1"/>
  <c r="AZ241" i="1" s="1"/>
  <c r="AZ242" i="1" s="1"/>
  <c r="AZ243" i="1" s="1"/>
  <c r="AZ244" i="1" s="1"/>
  <c r="AZ245" i="1" s="1"/>
  <c r="AZ246" i="1" s="1"/>
  <c r="AZ247" i="1" s="1"/>
  <c r="AZ248" i="1" s="1"/>
  <c r="AZ249" i="1" s="1"/>
  <c r="AZ250" i="1" s="1"/>
  <c r="AZ251" i="1" s="1"/>
  <c r="AZ252" i="1" s="1"/>
  <c r="AZ253" i="1" s="1"/>
  <c r="AZ254" i="1" s="1"/>
  <c r="AZ255" i="1" s="1"/>
  <c r="AZ256" i="1" s="1"/>
  <c r="AZ257" i="1" s="1"/>
  <c r="AZ258" i="1" s="1"/>
  <c r="AZ234" i="1"/>
  <c r="AZ208" i="1"/>
  <c r="AZ209" i="1" s="1"/>
  <c r="AZ210" i="1" s="1"/>
  <c r="AZ211" i="1" s="1"/>
  <c r="AZ212" i="1" s="1"/>
  <c r="AZ213" i="1" s="1"/>
  <c r="AZ214" i="1" s="1"/>
  <c r="AZ215" i="1" s="1"/>
  <c r="AZ216" i="1" s="1"/>
  <c r="AZ217" i="1" s="1"/>
  <c r="AZ218" i="1" s="1"/>
  <c r="AZ219" i="1" s="1"/>
  <c r="AZ220" i="1" s="1"/>
  <c r="AZ221" i="1" s="1"/>
  <c r="AZ222" i="1" s="1"/>
  <c r="AZ223" i="1" s="1"/>
  <c r="AZ224" i="1" s="1"/>
  <c r="AZ225" i="1" s="1"/>
  <c r="AZ226" i="1" s="1"/>
  <c r="AZ227" i="1" s="1"/>
  <c r="AZ228" i="1" s="1"/>
  <c r="AZ229" i="1" s="1"/>
  <c r="AZ230" i="1" s="1"/>
  <c r="AZ231" i="1" s="1"/>
  <c r="AZ232" i="1" s="1"/>
  <c r="AT235" i="1"/>
  <c r="AT236" i="1" s="1"/>
  <c r="AT237" i="1" s="1"/>
  <c r="AT238" i="1" s="1"/>
  <c r="AT239" i="1" s="1"/>
  <c r="AT240" i="1" s="1"/>
  <c r="AT241" i="1" s="1"/>
  <c r="AT242" i="1" s="1"/>
  <c r="AT243" i="1" s="1"/>
  <c r="AT244" i="1" s="1"/>
  <c r="AT245" i="1" s="1"/>
  <c r="AT246" i="1" s="1"/>
  <c r="AT247" i="1" s="1"/>
  <c r="AT248" i="1" s="1"/>
  <c r="AT249" i="1" s="1"/>
  <c r="AT250" i="1" s="1"/>
  <c r="AT251" i="1" s="1"/>
  <c r="AT252" i="1" s="1"/>
  <c r="AT253" i="1" s="1"/>
  <c r="AT254" i="1" s="1"/>
  <c r="AT255" i="1" s="1"/>
  <c r="AT256" i="1" s="1"/>
  <c r="AT257" i="1" s="1"/>
  <c r="AT258" i="1" s="1"/>
  <c r="AT234" i="1"/>
  <c r="AT210" i="1"/>
  <c r="AT211" i="1" s="1"/>
  <c r="AT212" i="1" s="1"/>
  <c r="AT213" i="1" s="1"/>
  <c r="AT214" i="1" s="1"/>
  <c r="AT215" i="1" s="1"/>
  <c r="AT216" i="1" s="1"/>
  <c r="AT217" i="1" s="1"/>
  <c r="AT218" i="1" s="1"/>
  <c r="AT219" i="1" s="1"/>
  <c r="AT220" i="1" s="1"/>
  <c r="AT221" i="1" s="1"/>
  <c r="AT222" i="1" s="1"/>
  <c r="AT223" i="1" s="1"/>
  <c r="AT224" i="1" s="1"/>
  <c r="AT225" i="1" s="1"/>
  <c r="AT226" i="1" s="1"/>
  <c r="AT227" i="1" s="1"/>
  <c r="AT228" i="1" s="1"/>
  <c r="AT229" i="1" s="1"/>
  <c r="AT230" i="1" s="1"/>
  <c r="AT231" i="1" s="1"/>
  <c r="AT232" i="1" s="1"/>
  <c r="AT209" i="1"/>
  <c r="AT208" i="1"/>
  <c r="AN236" i="1"/>
  <c r="AN237" i="1" s="1"/>
  <c r="AN238" i="1" s="1"/>
  <c r="AN239" i="1" s="1"/>
  <c r="AN240" i="1" s="1"/>
  <c r="AN241" i="1" s="1"/>
  <c r="AN242" i="1" s="1"/>
  <c r="AN243" i="1" s="1"/>
  <c r="AN244" i="1" s="1"/>
  <c r="AN245" i="1" s="1"/>
  <c r="AN246" i="1" s="1"/>
  <c r="AN247" i="1" s="1"/>
  <c r="AN248" i="1" s="1"/>
  <c r="AN249" i="1" s="1"/>
  <c r="AN250" i="1" s="1"/>
  <c r="AN251" i="1" s="1"/>
  <c r="AN252" i="1" s="1"/>
  <c r="AN253" i="1" s="1"/>
  <c r="AN254" i="1" s="1"/>
  <c r="AN255" i="1" s="1"/>
  <c r="AN256" i="1" s="1"/>
  <c r="AN257" i="1" s="1"/>
  <c r="AN258" i="1" s="1"/>
  <c r="AN235" i="1"/>
  <c r="AN234" i="1"/>
  <c r="AN211" i="1"/>
  <c r="AN212" i="1"/>
  <c r="AN213" i="1" s="1"/>
  <c r="AN214" i="1" s="1"/>
  <c r="AN215" i="1" s="1"/>
  <c r="AN216" i="1" s="1"/>
  <c r="AN217" i="1" s="1"/>
  <c r="AN218" i="1" s="1"/>
  <c r="AN219" i="1" s="1"/>
  <c r="AN220" i="1" s="1"/>
  <c r="AN221" i="1" s="1"/>
  <c r="AN222" i="1" s="1"/>
  <c r="AN223" i="1" s="1"/>
  <c r="AN224" i="1" s="1"/>
  <c r="AN225" i="1" s="1"/>
  <c r="AN226" i="1" s="1"/>
  <c r="AN227" i="1" s="1"/>
  <c r="AN228" i="1" s="1"/>
  <c r="AN229" i="1" s="1"/>
  <c r="AN230" i="1" s="1"/>
  <c r="AN231" i="1" s="1"/>
  <c r="AN232" i="1" s="1"/>
  <c r="AN210" i="1"/>
  <c r="AN209" i="1"/>
  <c r="AN208" i="1"/>
  <c r="AA256" i="1"/>
  <c r="AA229" i="1"/>
  <c r="AA202" i="1"/>
  <c r="AE307" i="1" l="1"/>
  <c r="AE308" i="1" s="1"/>
  <c r="AE309" i="1" s="1"/>
  <c r="AE310" i="1" s="1"/>
  <c r="AE311" i="1" s="1"/>
  <c r="AE312" i="1" s="1"/>
  <c r="AE313" i="1" s="1"/>
  <c r="AE314" i="1" s="1"/>
  <c r="AE315" i="1" s="1"/>
  <c r="AE316" i="1" s="1"/>
  <c r="AE317" i="1" s="1"/>
  <c r="AE318" i="1" s="1"/>
  <c r="AH307" i="1"/>
  <c r="AH308" i="1" s="1"/>
  <c r="AH309" i="1" s="1"/>
  <c r="AH310" i="1" s="1"/>
  <c r="AH311" i="1" s="1"/>
  <c r="AH312" i="1" s="1"/>
  <c r="AH313" i="1" s="1"/>
  <c r="AH314" i="1" s="1"/>
  <c r="AH315" i="1" s="1"/>
  <c r="AH316" i="1" s="1"/>
  <c r="AH317" i="1" s="1"/>
  <c r="AH318" i="1" s="1"/>
  <c r="AQ307" i="1"/>
  <c r="AQ308" i="1" s="1"/>
  <c r="AQ309" i="1" s="1"/>
  <c r="AQ312" i="1" s="1"/>
  <c r="AQ313" i="1" s="1"/>
  <c r="AQ314" i="1" s="1"/>
  <c r="AQ315" i="1" s="1"/>
  <c r="AQ316" i="1" s="1"/>
  <c r="AQ317" i="1" s="1"/>
  <c r="AQ318" i="1" s="1"/>
  <c r="AQ278" i="1"/>
  <c r="AQ279" i="1" s="1"/>
  <c r="AQ283" i="1" s="1"/>
  <c r="AQ284" i="1" s="1"/>
  <c r="AQ285" i="1" s="1"/>
  <c r="AQ286" i="1" s="1"/>
  <c r="AQ287" i="1" s="1"/>
  <c r="AQ288" i="1" s="1"/>
  <c r="AQ289" i="1" s="1"/>
  <c r="AT278" i="1"/>
  <c r="AT279" i="1" s="1"/>
  <c r="AT280" i="1" s="1"/>
  <c r="AT281" i="1" s="1"/>
  <c r="AT282" i="1" s="1"/>
  <c r="AT284" i="1" s="1"/>
  <c r="AT285" i="1" s="1"/>
  <c r="AT286" i="1" s="1"/>
  <c r="AT287" i="1" s="1"/>
  <c r="AT288" i="1" s="1"/>
  <c r="AT289" i="1" s="1"/>
  <c r="AK278" i="1"/>
  <c r="AK279" i="1" s="1"/>
  <c r="AK280" i="1" s="1"/>
  <c r="AK281" i="1" s="1"/>
  <c r="AK282" i="1" s="1"/>
  <c r="AK283" i="1" s="1"/>
  <c r="AK284" i="1" s="1"/>
  <c r="AK285" i="1" s="1"/>
  <c r="AK286" i="1" s="1"/>
  <c r="AK287" i="1" s="1"/>
  <c r="AK288" i="1" s="1"/>
  <c r="AK289" i="1" s="1"/>
  <c r="AN278" i="1"/>
  <c r="AN279" i="1" s="1"/>
  <c r="AN280" i="1" s="1"/>
  <c r="AN281" i="1" s="1"/>
  <c r="AN282" i="1" s="1"/>
  <c r="AN283" i="1" s="1"/>
  <c r="AN284" i="1" s="1"/>
  <c r="AN285" i="1" s="1"/>
  <c r="AN286" i="1" s="1"/>
  <c r="AN287" i="1" s="1"/>
  <c r="AN288" i="1" s="1"/>
  <c r="AN289" i="1" s="1"/>
  <c r="AE268" i="1"/>
  <c r="AE269" i="1" s="1"/>
  <c r="AE270" i="1" s="1"/>
  <c r="AE271" i="1" s="1"/>
  <c r="AE272" i="1" s="1"/>
  <c r="AE273" i="1" s="1"/>
  <c r="AE274" i="1" s="1"/>
  <c r="AE275" i="1" s="1"/>
  <c r="AE276" i="1" s="1"/>
  <c r="AE277" i="1" s="1"/>
  <c r="AE278" i="1" l="1"/>
  <c r="AE279" i="1" s="1"/>
  <c r="AE280" i="1" s="1"/>
  <c r="AE281" i="1" s="1"/>
  <c r="AE282" i="1" s="1"/>
  <c r="AE283" i="1" s="1"/>
  <c r="AE284" i="1" s="1"/>
  <c r="AE285" i="1" s="1"/>
  <c r="AE286" i="1" s="1"/>
  <c r="AE287" i="1" s="1"/>
  <c r="AE288" i="1" s="1"/>
  <c r="AE289" i="1" s="1"/>
  <c r="AH278" i="1"/>
  <c r="AH279" i="1" s="1"/>
  <c r="AH280" i="1" l="1"/>
  <c r="AH281" i="1" s="1"/>
  <c r="AH282" i="1" s="1"/>
  <c r="AH283" i="1" s="1"/>
  <c r="AH284" i="1" s="1"/>
  <c r="AH285" i="1" s="1"/>
  <c r="AH286" i="1" s="1"/>
  <c r="AH287" i="1" s="1"/>
  <c r="AH288" i="1" s="1"/>
  <c r="AH289" i="1" s="1"/>
</calcChain>
</file>

<file path=xl/sharedStrings.xml><?xml version="1.0" encoding="utf-8"?>
<sst xmlns="http://schemas.openxmlformats.org/spreadsheetml/2006/main" count="288" uniqueCount="179">
  <si>
    <t>14.28</t>
  </si>
  <si>
    <t>29.78</t>
  </si>
  <si>
    <t>55.95</t>
  </si>
  <si>
    <t>76.74</t>
  </si>
  <si>
    <t>86.65</t>
  </si>
  <si>
    <t>89.28</t>
  </si>
  <si>
    <t>89.94</t>
  </si>
  <si>
    <t>90.41</t>
  </si>
  <si>
    <t>90.53</t>
  </si>
  <si>
    <t>91.04</t>
  </si>
  <si>
    <t>91.26</t>
  </si>
  <si>
    <t>91.71</t>
  </si>
  <si>
    <t>91.69</t>
  </si>
  <si>
    <t>91.79</t>
  </si>
  <si>
    <t>92.13</t>
  </si>
  <si>
    <t>91.95</t>
  </si>
  <si>
    <t>92.21</t>
  </si>
  <si>
    <t>92.27</t>
  </si>
  <si>
    <t>92.07</t>
  </si>
  <si>
    <t>92.15</t>
  </si>
  <si>
    <t>82.20</t>
  </si>
  <si>
    <t>92.10</t>
  </si>
  <si>
    <t>92.60</t>
  </si>
  <si>
    <t>Energy harvesting predictions for each month</t>
  </si>
  <si>
    <t>January</t>
  </si>
  <si>
    <t>hour</t>
  </si>
  <si>
    <t>in mAh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</si>
  <si>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</si>
  <si>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</si>
  <si>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</si>
  <si>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</si>
  <si>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</si>
  <si>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</si>
  <si>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</si>
  <si>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</si>
  <si>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</si>
  <si>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</si>
  <si>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</si>
  <si>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source:</t>
  </si>
  <si>
    <t>https://re.jrc.ec.europa.eu/pvg_tools/</t>
  </si>
  <si>
    <t>actual:</t>
  </si>
  <si>
    <t>predicted:</t>
  </si>
  <si>
    <t>on 1.1.2023</t>
  </si>
  <si>
    <t>20230101:0010,0.0,0.0,11.2,8.07,0.0</t>
  </si>
  <si>
    <t>20230101:0110,0.0,0.0,10.69,7.31,0.0</t>
  </si>
  <si>
    <t>20230101:0210,0.0,0.0,10.3,6.97,0.0</t>
  </si>
  <si>
    <t>20230101:0310,0.0,0.0,9.88,6.83,0.0</t>
  </si>
  <si>
    <t>20230101:0410,0.0,0.0,9.7,6.9,0.0</t>
  </si>
  <si>
    <t>20230101:0510,0.0,0.0,9.58,6.76,0.0</t>
  </si>
  <si>
    <t>20230101:0610,0.0,0.0,9.35,6.41,0.0</t>
  </si>
  <si>
    <t>20230101:0710,0.0,0.0,9.12,6.21,0.0</t>
  </si>
  <si>
    <t>20230101:0810,0.0,0.0,9.29,5.79,0.0</t>
  </si>
  <si>
    <t>20230101:0910,250.23,6.47,9.37,5.66,0.0</t>
  </si>
  <si>
    <t>20230101:1010,240.51,11.53,9.83,5.72,0.0</t>
  </si>
  <si>
    <t>20230101:1110,231.14,14.63,10.63,6.0,0.0</t>
  </si>
  <si>
    <t>20230101:1210,225.83,15.5,11.12,6.69,0.0</t>
  </si>
  <si>
    <t>20230101:1310,210.49,14.05,11.0,5.79,0.0</t>
  </si>
  <si>
    <t>20230101:1410,112.3,10.42,10.84,5.24,0.0</t>
  </si>
  <si>
    <t>20230101:1510,42.95,4.93,10.61,4.97,0.0</t>
  </si>
  <si>
    <t>20230101:1610,0.0,0.0,10.2,4.55,0.0</t>
  </si>
  <si>
    <t>20230101:1710,0.0,0.0,9.88,4.28,0.0</t>
  </si>
  <si>
    <t>20230101:1810,0.0,0.0,9.79,4.28,0.0</t>
  </si>
  <si>
    <t>20230101:1910,0.0,0.0,9.07,1.59,0.0</t>
  </si>
  <si>
    <t>20230101:2010,0.0,0.0,8.72,1.17,0.0</t>
  </si>
  <si>
    <t>20230101:2110,0.0,0.0,8.56,1.52,0.0</t>
  </si>
  <si>
    <t>20230101:2210,0.0,0.0,8.41,1.86,0.0</t>
  </si>
  <si>
    <t>20230101:2310,0.0,0.0,8.14,1.93,0.0</t>
  </si>
  <si>
    <t>Note: had to shift 10min and account for summer time</t>
  </si>
  <si>
    <t>actual energy harvesting values for 1.7.2023</t>
  </si>
  <si>
    <t>20230701:0110,0.0,0.0,16.72,4.28,0.0</t>
  </si>
  <si>
    <t>20230701:0210,0.0,0.0,16.69,4.14,0.0</t>
  </si>
  <si>
    <t>20230701:0310,0.0,0.0,16.65,4.0,0.0</t>
  </si>
  <si>
    <t>20230701:0410,4.53,2.11,16.57,4.0,0.0</t>
  </si>
  <si>
    <t>20230701:0510,30.77,10.18,16.44,4.21,0.0</t>
  </si>
  <si>
    <t>20230701:0610,96.02,19.0,16.57,4.0,0.0</t>
  </si>
  <si>
    <t>20230701:0710,226.45,28.24,17.29,4.55,0.0</t>
  </si>
  <si>
    <t>20230701:0810,279.8,37.55,17.73,4.69,0.0</t>
  </si>
  <si>
    <t>20230701:0910,331.97,46.47,18.48,5.03,0.0</t>
  </si>
  <si>
    <t>20230701:1010,140.0,54.31,18.74,5.24,0.0</t>
  </si>
  <si>
    <t>20230701:1110,583.33,59.88,18.57,5.1,0.0</t>
  </si>
  <si>
    <t>20230701:1210,675.7,61.6,18.92,5.45,0.0</t>
  </si>
  <si>
    <t>20230701:1310,344.3,58.8,18.93,5.45,0.0</t>
  </si>
  <si>
    <t>20230701:1410,405.9,52.53,19.08,5.31,0.0</t>
  </si>
  <si>
    <t>20230701:1510,368.63,44.34,19.51,5.17,0.0</t>
  </si>
  <si>
    <t>20230701:1610,403.92,35.27,19.7,5.03,0.0</t>
  </si>
  <si>
    <t>20230701:1710,220.77,25.94,19.67,4.69,0.0</t>
  </si>
  <si>
    <t>20230701:1810,99.26,16.78,19.45,3.86,0.0</t>
  </si>
  <si>
    <t>20230701:1910,42.54,8.11,19.1,3.93,0.0</t>
  </si>
  <si>
    <t>20230701:2010,0.0,0.0,18.42,3.79,0.0</t>
  </si>
  <si>
    <t>20230701:2110,0.0,0.0,17.73,3.45,0.0</t>
  </si>
  <si>
    <t>20230701:2210,0.0,0.0,17.07,3.24,0.0</t>
  </si>
  <si>
    <t>20230701:2310,0.0,0.0,16.31,3.1,0.0</t>
  </si>
  <si>
    <t>20230702:0010,0.0,0.0,15.81,3.17,0.0</t>
  </si>
  <si>
    <t>battery discharge model</t>
  </si>
  <si>
    <t>25mA</t>
  </si>
  <si>
    <t>50mA</t>
  </si>
  <si>
    <t>75mA</t>
  </si>
  <si>
    <t>battery charge model</t>
  </si>
  <si>
    <t>month</t>
  </si>
  <si>
    <t>hours to charge</t>
  </si>
  <si>
    <t>Iteration times MCTS</t>
  </si>
  <si>
    <t>timing evaluation</t>
  </si>
  <si>
    <t>timeslots</t>
  </si>
  <si>
    <t>DP</t>
  </si>
  <si>
    <t>MCTS</t>
  </si>
  <si>
    <t>Beam Search</t>
  </si>
  <si>
    <t>Up/Down</t>
  </si>
  <si>
    <t>date: 1.4.2026</t>
  </si>
  <si>
    <t>clearsky harvesting values</t>
  </si>
  <si>
    <t>battery</t>
  </si>
  <si>
    <t>min</t>
  </si>
  <si>
    <t>start</t>
  </si>
  <si>
    <t>max</t>
  </si>
  <si>
    <t>scale</t>
  </si>
  <si>
    <t>iter = K/2</t>
  </si>
  <si>
    <t>with upgrade</t>
  </si>
  <si>
    <t>K = 24</t>
  </si>
  <si>
    <t>beam width: num tasks/3</t>
  </si>
  <si>
    <t>energy on 1.4.2026, /10</t>
  </si>
  <si>
    <t>Bmax 50</t>
  </si>
  <si>
    <t>Bmin 10</t>
  </si>
  <si>
    <t>Bstart 30</t>
  </si>
  <si>
    <t>Solution behaviour</t>
  </si>
  <si>
    <t>For K=24, Bmax = 50, Bmin = 10, Bstart = 30, 4.1.</t>
  </si>
  <si>
    <t>Tasks:</t>
  </si>
  <si>
    <t>id</t>
  </si>
  <si>
    <t>cost</t>
  </si>
  <si>
    <t>quality</t>
  </si>
  <si>
    <t>energy harvesting</t>
  </si>
  <si>
    <t>energy level</t>
  </si>
  <si>
    <t>K</t>
  </si>
  <si>
    <t>Bmax</t>
  </si>
  <si>
    <t>Bmin stays 10</t>
  </si>
  <si>
    <t>Bstart = (Bmax+Bmin)/2</t>
  </si>
  <si>
    <t>MCTS times and qualities with &amp; without upgrade function</t>
  </si>
  <si>
    <t>with</t>
  </si>
  <si>
    <t>without</t>
  </si>
  <si>
    <t>b/2</t>
  </si>
  <si>
    <t>avg over 10x</t>
  </si>
  <si>
    <t>MCTS Quality for different start times</t>
  </si>
  <si>
    <t>Eval on 1.4.2026</t>
  </si>
  <si>
    <t>clearsky predictions</t>
  </si>
  <si>
    <t>Start 16h</t>
  </si>
  <si>
    <t>averages over 100</t>
  </si>
  <si>
    <t>Iterations</t>
  </si>
  <si>
    <t>MCTS Quality</t>
  </si>
  <si>
    <t>Max. Quality</t>
  </si>
  <si>
    <t>Start 0h</t>
  </si>
  <si>
    <t>Start 8h</t>
  </si>
  <si>
    <t>3 day evaluation</t>
  </si>
  <si>
    <t>timeslot</t>
  </si>
  <si>
    <t>harvesting</t>
  </si>
  <si>
    <t>quality sum</t>
  </si>
  <si>
    <t>MCTS no upgrade</t>
  </si>
  <si>
    <t>MCTS with upgrade</t>
  </si>
  <si>
    <t>Up/down</t>
  </si>
  <si>
    <t>Recalculation evaluation</t>
  </si>
  <si>
    <t>recalculation after 12 timeslots</t>
  </si>
  <si>
    <t>assuming, energy prod. for day</t>
  </si>
  <si>
    <t>is x% lower (higher) than</t>
  </si>
  <si>
    <t>expected</t>
  </si>
  <si>
    <t>Bmax = 1000</t>
  </si>
  <si>
    <t>Bstart = 750</t>
  </si>
  <si>
    <t>Bmin = 600</t>
  </si>
  <si>
    <t>predictions using pvg</t>
  </si>
  <si>
    <t>pred</t>
  </si>
  <si>
    <t>initial plan cost</t>
  </si>
  <si>
    <t>battery in pred</t>
  </si>
  <si>
    <t>actual harv</t>
  </si>
  <si>
    <t>battery with stat plan</t>
  </si>
  <si>
    <t>start at 0h</t>
  </si>
  <si>
    <t>recalculated plan</t>
  </si>
  <si>
    <t>recalculated battery</t>
  </si>
  <si>
    <t>initial plan quality</t>
  </si>
  <si>
    <t>beam width 3</t>
  </si>
  <si>
    <t>Up /Down</t>
  </si>
  <si>
    <t>Astar</t>
  </si>
  <si>
    <t>Topological</t>
  </si>
  <si>
    <t>Topological Sort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</si>
</sst>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4E5B61"/>
      <name val="Arial Unicode M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7">
    <xf numFmtId="0" fontId="0" fillId="0" borderId="0" xfId="0"/>
    <xf numFmtId="2" fontId="0" fillId="0" borderId="0" xfId="0" applyNumberFormat="1"/>
    <xf numFmtId="0" fontId="2" fillId="0" borderId="0" xfId="1"/>
    <xf numFmtId="0" fontId="3" fillId="0" borderId="0" xfId="0" applyFont="1" applyAlignment="1">
      <alignment vertical="center"/>
    </xf>
    <xf numFmtId="0" fontId="0" fillId="0" borderId="0" xfId="0" applyAlignment="1">
      <alignment vertical="center" wrapText="1"/>
    </xf>
    <xf numFmtId="9" fontId="0" fillId="0" borderId="0" xfId="0" applyNumberFormat="1"/>
    <xf numFmtId="14" fontId="0" fillId="0" borderId="0" xfId="0" applyNumberFormat="1"/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2326137357830272"/>
          <c:y val="5.0925925925925923E-2"/>
          <c:w val="0.72718307086614176"/>
          <c:h val="0.7855402449693788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Tabelle1!$B$2:$B$26</c:f>
              <c:numCache>
                <c:formatCode>General</c:formatCode>
                <c:ptCount val="25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  <c:pt idx="12">
                  <c:v>130</c:v>
                </c:pt>
                <c:pt idx="13">
                  <c:v>140</c:v>
                </c:pt>
                <c:pt idx="14">
                  <c:v>150</c:v>
                </c:pt>
                <c:pt idx="15">
                  <c:v>160</c:v>
                </c:pt>
                <c:pt idx="16">
                  <c:v>170</c:v>
                </c:pt>
                <c:pt idx="17">
                  <c:v>180</c:v>
                </c:pt>
                <c:pt idx="18">
                  <c:v>190</c:v>
                </c:pt>
                <c:pt idx="19">
                  <c:v>200</c:v>
                </c:pt>
                <c:pt idx="20">
                  <c:v>210</c:v>
                </c:pt>
                <c:pt idx="21">
                  <c:v>220</c:v>
                </c:pt>
                <c:pt idx="22">
                  <c:v>230</c:v>
                </c:pt>
                <c:pt idx="23">
                  <c:v>240</c:v>
                </c:pt>
                <c:pt idx="24">
                  <c:v>250</c:v>
                </c:pt>
              </c:numCache>
            </c:numRef>
          </c:xVal>
          <c:yVal>
            <c:numRef>
              <c:f>Tabelle1!$C$2:$C$26</c:f>
              <c:numCache>
                <c:formatCode>0.00</c:formatCode>
                <c:ptCount val="25"/>
                <c:pt idx="0">
                  <c:v>14.28</c:v>
                </c:pt>
                <c:pt idx="1">
                  <c:v>29.78</c:v>
                </c:pt>
                <c:pt idx="2">
                  <c:v>55.95</c:v>
                </c:pt>
                <c:pt idx="3">
                  <c:v>76.739999999999995</c:v>
                </c:pt>
                <c:pt idx="4">
                  <c:v>82.2</c:v>
                </c:pt>
                <c:pt idx="5">
                  <c:v>86.65</c:v>
                </c:pt>
                <c:pt idx="6">
                  <c:v>89.28</c:v>
                </c:pt>
                <c:pt idx="7">
                  <c:v>89.94</c:v>
                </c:pt>
                <c:pt idx="8">
                  <c:v>90.41</c:v>
                </c:pt>
                <c:pt idx="9">
                  <c:v>90.53</c:v>
                </c:pt>
                <c:pt idx="10">
                  <c:v>91.04</c:v>
                </c:pt>
                <c:pt idx="11">
                  <c:v>91.26</c:v>
                </c:pt>
                <c:pt idx="12">
                  <c:v>91.71</c:v>
                </c:pt>
                <c:pt idx="13">
                  <c:v>91.69</c:v>
                </c:pt>
                <c:pt idx="14">
                  <c:v>91.79</c:v>
                </c:pt>
                <c:pt idx="15">
                  <c:v>92.13</c:v>
                </c:pt>
                <c:pt idx="16">
                  <c:v>92.13</c:v>
                </c:pt>
                <c:pt idx="17">
                  <c:v>91.95</c:v>
                </c:pt>
                <c:pt idx="18">
                  <c:v>92.1</c:v>
                </c:pt>
                <c:pt idx="19">
                  <c:v>92.21</c:v>
                </c:pt>
                <c:pt idx="20">
                  <c:v>92.27</c:v>
                </c:pt>
                <c:pt idx="21">
                  <c:v>92.07</c:v>
                </c:pt>
                <c:pt idx="22">
                  <c:v>92.13</c:v>
                </c:pt>
                <c:pt idx="23">
                  <c:v>92.6</c:v>
                </c:pt>
                <c:pt idx="24">
                  <c:v>92.15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1C1-469A-97F7-C66C057AE8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473871"/>
        <c:axId val="18459471"/>
      </c:scatterChart>
      <c:scatterChart>
        <c:scatterStyle val="smoothMarker"/>
        <c:varyColors val="0"/>
        <c:ser>
          <c:idx val="1"/>
          <c:order val="1"/>
          <c:tx>
            <c:v>linear programming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Tabelle1!$B$2:$B$26</c:f>
              <c:numCache>
                <c:formatCode>General</c:formatCode>
                <c:ptCount val="25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  <c:pt idx="12">
                  <c:v>130</c:v>
                </c:pt>
                <c:pt idx="13">
                  <c:v>140</c:v>
                </c:pt>
                <c:pt idx="14">
                  <c:v>150</c:v>
                </c:pt>
                <c:pt idx="15">
                  <c:v>160</c:v>
                </c:pt>
                <c:pt idx="16">
                  <c:v>170</c:v>
                </c:pt>
                <c:pt idx="17">
                  <c:v>180</c:v>
                </c:pt>
                <c:pt idx="18">
                  <c:v>190</c:v>
                </c:pt>
                <c:pt idx="19">
                  <c:v>200</c:v>
                </c:pt>
                <c:pt idx="20">
                  <c:v>210</c:v>
                </c:pt>
                <c:pt idx="21">
                  <c:v>220</c:v>
                </c:pt>
                <c:pt idx="22">
                  <c:v>230</c:v>
                </c:pt>
                <c:pt idx="23">
                  <c:v>240</c:v>
                </c:pt>
                <c:pt idx="24">
                  <c:v>250</c:v>
                </c:pt>
              </c:numCache>
            </c:numRef>
          </c:xVal>
          <c:yVal>
            <c:numRef>
              <c:f>Tabelle1!$D$2:$D$26</c:f>
              <c:numCache>
                <c:formatCode>General</c:formatCode>
                <c:ptCount val="25"/>
                <c:pt idx="0">
                  <c:v>96</c:v>
                </c:pt>
                <c:pt idx="1">
                  <c:v>96</c:v>
                </c:pt>
                <c:pt idx="2">
                  <c:v>96</c:v>
                </c:pt>
                <c:pt idx="3">
                  <c:v>96</c:v>
                </c:pt>
                <c:pt idx="4">
                  <c:v>96</c:v>
                </c:pt>
                <c:pt idx="5">
                  <c:v>96</c:v>
                </c:pt>
                <c:pt idx="6">
                  <c:v>96</c:v>
                </c:pt>
                <c:pt idx="7">
                  <c:v>96</c:v>
                </c:pt>
                <c:pt idx="8">
                  <c:v>96</c:v>
                </c:pt>
                <c:pt idx="9">
                  <c:v>96</c:v>
                </c:pt>
                <c:pt idx="10">
                  <c:v>96</c:v>
                </c:pt>
                <c:pt idx="11">
                  <c:v>96</c:v>
                </c:pt>
                <c:pt idx="12">
                  <c:v>96</c:v>
                </c:pt>
                <c:pt idx="13">
                  <c:v>96</c:v>
                </c:pt>
                <c:pt idx="14">
                  <c:v>96</c:v>
                </c:pt>
                <c:pt idx="15">
                  <c:v>96</c:v>
                </c:pt>
                <c:pt idx="16">
                  <c:v>96</c:v>
                </c:pt>
                <c:pt idx="17">
                  <c:v>96</c:v>
                </c:pt>
                <c:pt idx="18">
                  <c:v>96</c:v>
                </c:pt>
                <c:pt idx="19">
                  <c:v>96</c:v>
                </c:pt>
                <c:pt idx="20">
                  <c:v>96</c:v>
                </c:pt>
                <c:pt idx="21">
                  <c:v>96</c:v>
                </c:pt>
                <c:pt idx="22">
                  <c:v>96</c:v>
                </c:pt>
                <c:pt idx="23">
                  <c:v>96</c:v>
                </c:pt>
                <c:pt idx="24">
                  <c:v>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1C1-469A-97F7-C66C057AE8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473871"/>
        <c:axId val="18459471"/>
      </c:scatterChart>
      <c:valAx>
        <c:axId val="184738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Iterations</a:t>
                </a:r>
              </a:p>
            </c:rich>
          </c:tx>
          <c:layout>
            <c:manualLayout>
              <c:xMode val="edge"/>
              <c:yMode val="edge"/>
              <c:x val="0.84245013123359569"/>
              <c:y val="0.8786803732866724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8459471"/>
        <c:crosses val="autoZero"/>
        <c:crossBetween val="midCat"/>
      </c:valAx>
      <c:valAx>
        <c:axId val="18459471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Quality</a:t>
                </a:r>
              </a:p>
            </c:rich>
          </c:tx>
          <c:layout>
            <c:manualLayout>
              <c:xMode val="edge"/>
              <c:yMode val="edge"/>
              <c:x val="2.2222222222222223E-2"/>
              <c:y val="4.0443642461359029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84738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dp+Tabelle1!$F$37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Tabelle1!$E$37:$E$44</c:f>
              <c:numCache>
                <c:formatCode>General</c:formatCode>
                <c:ptCount val="8"/>
                <c:pt idx="0">
                  <c:v>20</c:v>
                </c:pt>
                <c:pt idx="1">
                  <c:v>30</c:v>
                </c:pt>
                <c:pt idx="2">
                  <c:v>40</c:v>
                </c:pt>
                <c:pt idx="3">
                  <c:v>50</c:v>
                </c:pt>
                <c:pt idx="4">
                  <c:v>60</c:v>
                </c:pt>
                <c:pt idx="5">
                  <c:v>70</c:v>
                </c:pt>
                <c:pt idx="6">
                  <c:v>80</c:v>
                </c:pt>
                <c:pt idx="7">
                  <c:v>90</c:v>
                </c:pt>
              </c:numCache>
            </c:numRef>
          </c:cat>
          <c:val>
            <c:numRef>
              <c:f>Tabelle1!$F$37:$F$44</c:f>
              <c:numCache>
                <c:formatCode>General</c:formatCode>
                <c:ptCount val="8"/>
                <c:pt idx="0">
                  <c:v>0.94</c:v>
                </c:pt>
                <c:pt idx="1">
                  <c:v>0.86</c:v>
                </c:pt>
                <c:pt idx="2">
                  <c:v>2.29</c:v>
                </c:pt>
                <c:pt idx="3">
                  <c:v>2.0499999999999998</c:v>
                </c:pt>
                <c:pt idx="4">
                  <c:v>6.77</c:v>
                </c:pt>
                <c:pt idx="5">
                  <c:v>7.37</c:v>
                </c:pt>
                <c:pt idx="6">
                  <c:v>12.12</c:v>
                </c:pt>
                <c:pt idx="7">
                  <c:v>32.82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CDC-4259-AD1F-6DEE7E9A44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7132799"/>
        <c:axId val="637115999"/>
      </c:lineChart>
      <c:catAx>
        <c:axId val="6371327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 sz="1600"/>
                  <a:t>Timeslots K</a:t>
                </a:r>
              </a:p>
            </c:rich>
          </c:tx>
          <c:layout>
            <c:manualLayout>
              <c:xMode val="edge"/>
              <c:yMode val="edge"/>
              <c:x val="0.74508202099737519"/>
              <c:y val="0.8586340769903761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37115999"/>
        <c:crosses val="autoZero"/>
        <c:auto val="1"/>
        <c:lblAlgn val="ctr"/>
        <c:lblOffset val="100"/>
        <c:noMultiLvlLbl val="0"/>
      </c:catAx>
      <c:valAx>
        <c:axId val="637115999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 sz="1600"/>
                  <a:t>Time in ms</a:t>
                </a:r>
              </a:p>
            </c:rich>
          </c:tx>
          <c:layout>
            <c:manualLayout>
              <c:xMode val="edge"/>
              <c:yMode val="edge"/>
              <c:x val="2.7777777777777776E-2"/>
              <c:y val="3.0489938757655294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371327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dp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Tabelle1!$E$81:$E$98</c:f>
              <c:numCache>
                <c:formatCode>General</c:formatCode>
                <c:ptCount val="18"/>
                <c:pt idx="0">
                  <c:v>20</c:v>
                </c:pt>
                <c:pt idx="1">
                  <c:v>30</c:v>
                </c:pt>
                <c:pt idx="2">
                  <c:v>40</c:v>
                </c:pt>
                <c:pt idx="3">
                  <c:v>50</c:v>
                </c:pt>
                <c:pt idx="4">
                  <c:v>60</c:v>
                </c:pt>
                <c:pt idx="5">
                  <c:v>70</c:v>
                </c:pt>
                <c:pt idx="6">
                  <c:v>80</c:v>
                </c:pt>
                <c:pt idx="7">
                  <c:v>90</c:v>
                </c:pt>
                <c:pt idx="8">
                  <c:v>100</c:v>
                </c:pt>
                <c:pt idx="9">
                  <c:v>110</c:v>
                </c:pt>
                <c:pt idx="10">
                  <c:v>120</c:v>
                </c:pt>
                <c:pt idx="11">
                  <c:v>130</c:v>
                </c:pt>
                <c:pt idx="12">
                  <c:v>140</c:v>
                </c:pt>
                <c:pt idx="13">
                  <c:v>150</c:v>
                </c:pt>
                <c:pt idx="14">
                  <c:v>160</c:v>
                </c:pt>
                <c:pt idx="15">
                  <c:v>170</c:v>
                </c:pt>
                <c:pt idx="16">
                  <c:v>180</c:v>
                </c:pt>
                <c:pt idx="17">
                  <c:v>190</c:v>
                </c:pt>
              </c:numCache>
            </c:numRef>
          </c:cat>
          <c:val>
            <c:numRef>
              <c:f>Tabelle1!$F$81:$F$98</c:f>
              <c:numCache>
                <c:formatCode>General</c:formatCode>
                <c:ptCount val="18"/>
                <c:pt idx="0">
                  <c:v>2.41</c:v>
                </c:pt>
                <c:pt idx="1">
                  <c:v>0.35</c:v>
                </c:pt>
                <c:pt idx="2">
                  <c:v>0.25</c:v>
                </c:pt>
                <c:pt idx="3">
                  <c:v>0.36</c:v>
                </c:pt>
                <c:pt idx="4">
                  <c:v>0.1</c:v>
                </c:pt>
                <c:pt idx="5">
                  <c:v>0.17</c:v>
                </c:pt>
                <c:pt idx="6">
                  <c:v>0.16</c:v>
                </c:pt>
                <c:pt idx="7">
                  <c:v>0.14000000000000001</c:v>
                </c:pt>
                <c:pt idx="8">
                  <c:v>0.18</c:v>
                </c:pt>
                <c:pt idx="9">
                  <c:v>0.12</c:v>
                </c:pt>
                <c:pt idx="10">
                  <c:v>0.14000000000000001</c:v>
                </c:pt>
                <c:pt idx="11">
                  <c:v>0.13</c:v>
                </c:pt>
                <c:pt idx="12">
                  <c:v>0.12</c:v>
                </c:pt>
                <c:pt idx="13">
                  <c:v>0.13</c:v>
                </c:pt>
                <c:pt idx="14">
                  <c:v>0.13</c:v>
                </c:pt>
                <c:pt idx="15">
                  <c:v>0.12</c:v>
                </c:pt>
                <c:pt idx="16">
                  <c:v>0.14000000000000001</c:v>
                </c:pt>
                <c:pt idx="17">
                  <c:v>0.14000000000000001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696-47FD-8AA4-1C4AE2FCA3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466671"/>
        <c:axId val="18461391"/>
      </c:lineChart>
      <c:catAx>
        <c:axId val="184666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 sz="1600"/>
                  <a:t>maximum Battery Bmax</a:t>
                </a:r>
              </a:p>
            </c:rich>
          </c:tx>
          <c:layout>
            <c:manualLayout>
              <c:xMode val="edge"/>
              <c:yMode val="edge"/>
              <c:x val="0.54541535433070865"/>
              <c:y val="0.8540044473607465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8461391"/>
        <c:crosses val="autoZero"/>
        <c:auto val="1"/>
        <c:lblAlgn val="ctr"/>
        <c:lblOffset val="100"/>
        <c:noMultiLvlLbl val="0"/>
      </c:catAx>
      <c:valAx>
        <c:axId val="18461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 sz="1600"/>
                  <a:t>Time in ms</a:t>
                </a:r>
              </a:p>
            </c:rich>
          </c:tx>
          <c:layout>
            <c:manualLayout>
              <c:xMode val="edge"/>
              <c:yMode val="edge"/>
              <c:x val="2.2222222222222223E-2"/>
              <c:y val="3.0489938757655294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8466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Tabelle1!$E$37:$E$44</c:f>
              <c:numCache>
                <c:formatCode>General</c:formatCode>
                <c:ptCount val="8"/>
                <c:pt idx="0">
                  <c:v>20</c:v>
                </c:pt>
                <c:pt idx="1">
                  <c:v>30</c:v>
                </c:pt>
                <c:pt idx="2">
                  <c:v>40</c:v>
                </c:pt>
                <c:pt idx="3">
                  <c:v>50</c:v>
                </c:pt>
                <c:pt idx="4">
                  <c:v>60</c:v>
                </c:pt>
                <c:pt idx="5">
                  <c:v>70</c:v>
                </c:pt>
                <c:pt idx="6">
                  <c:v>80</c:v>
                </c:pt>
                <c:pt idx="7">
                  <c:v>90</c:v>
                </c:pt>
              </c:numCache>
            </c:numRef>
          </c:cat>
          <c:val>
            <c:numRef>
              <c:f>Tabelle1!$F$37:$F$44</c:f>
              <c:numCache>
                <c:formatCode>General</c:formatCode>
                <c:ptCount val="8"/>
                <c:pt idx="0">
                  <c:v>0.94</c:v>
                </c:pt>
                <c:pt idx="1">
                  <c:v>0.86</c:v>
                </c:pt>
                <c:pt idx="2">
                  <c:v>2.29</c:v>
                </c:pt>
                <c:pt idx="3">
                  <c:v>2.0499999999999998</c:v>
                </c:pt>
                <c:pt idx="4">
                  <c:v>6.77</c:v>
                </c:pt>
                <c:pt idx="5">
                  <c:v>7.37</c:v>
                </c:pt>
                <c:pt idx="6">
                  <c:v>12.12</c:v>
                </c:pt>
                <c:pt idx="7">
                  <c:v>32.82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B2C-42E6-83FC-1720E6780A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359135"/>
        <c:axId val="96346175"/>
      </c:lineChart>
      <c:catAx>
        <c:axId val="963591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96346175"/>
        <c:crosses val="autoZero"/>
        <c:auto val="1"/>
        <c:lblAlgn val="ctr"/>
        <c:lblOffset val="100"/>
        <c:noMultiLvlLbl val="0"/>
      </c:catAx>
      <c:valAx>
        <c:axId val="963461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963591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Tabelle1!$E$81:$E$98</c:f>
              <c:numCache>
                <c:formatCode>General</c:formatCode>
                <c:ptCount val="18"/>
                <c:pt idx="0">
                  <c:v>20</c:v>
                </c:pt>
                <c:pt idx="1">
                  <c:v>30</c:v>
                </c:pt>
                <c:pt idx="2">
                  <c:v>40</c:v>
                </c:pt>
                <c:pt idx="3">
                  <c:v>50</c:v>
                </c:pt>
                <c:pt idx="4">
                  <c:v>60</c:v>
                </c:pt>
                <c:pt idx="5">
                  <c:v>70</c:v>
                </c:pt>
                <c:pt idx="6">
                  <c:v>80</c:v>
                </c:pt>
                <c:pt idx="7">
                  <c:v>90</c:v>
                </c:pt>
                <c:pt idx="8">
                  <c:v>100</c:v>
                </c:pt>
                <c:pt idx="9">
                  <c:v>110</c:v>
                </c:pt>
                <c:pt idx="10">
                  <c:v>120</c:v>
                </c:pt>
                <c:pt idx="11">
                  <c:v>130</c:v>
                </c:pt>
                <c:pt idx="12">
                  <c:v>140</c:v>
                </c:pt>
                <c:pt idx="13">
                  <c:v>150</c:v>
                </c:pt>
                <c:pt idx="14">
                  <c:v>160</c:v>
                </c:pt>
                <c:pt idx="15">
                  <c:v>170</c:v>
                </c:pt>
                <c:pt idx="16">
                  <c:v>180</c:v>
                </c:pt>
                <c:pt idx="17">
                  <c:v>190</c:v>
                </c:pt>
              </c:numCache>
            </c:numRef>
          </c:cat>
          <c:val>
            <c:numRef>
              <c:f>Tabelle1!$F$81:$F$98</c:f>
              <c:numCache>
                <c:formatCode>General</c:formatCode>
                <c:ptCount val="18"/>
                <c:pt idx="0">
                  <c:v>2.41</c:v>
                </c:pt>
                <c:pt idx="1">
                  <c:v>0.35</c:v>
                </c:pt>
                <c:pt idx="2">
                  <c:v>0.25</c:v>
                </c:pt>
                <c:pt idx="3">
                  <c:v>0.36</c:v>
                </c:pt>
                <c:pt idx="4">
                  <c:v>0.1</c:v>
                </c:pt>
                <c:pt idx="5">
                  <c:v>0.17</c:v>
                </c:pt>
                <c:pt idx="6">
                  <c:v>0.16</c:v>
                </c:pt>
                <c:pt idx="7">
                  <c:v>0.14000000000000001</c:v>
                </c:pt>
                <c:pt idx="8">
                  <c:v>0.18</c:v>
                </c:pt>
                <c:pt idx="9">
                  <c:v>0.12</c:v>
                </c:pt>
                <c:pt idx="10">
                  <c:v>0.14000000000000001</c:v>
                </c:pt>
                <c:pt idx="11">
                  <c:v>0.13</c:v>
                </c:pt>
                <c:pt idx="12">
                  <c:v>0.12</c:v>
                </c:pt>
                <c:pt idx="13">
                  <c:v>0.13</c:v>
                </c:pt>
                <c:pt idx="14">
                  <c:v>0.13</c:v>
                </c:pt>
                <c:pt idx="15">
                  <c:v>0.12</c:v>
                </c:pt>
                <c:pt idx="16">
                  <c:v>0.14000000000000001</c:v>
                </c:pt>
                <c:pt idx="17">
                  <c:v>0.14000000000000001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EA4-4EEF-B745-55D1A87022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324095"/>
        <c:axId val="96333215"/>
      </c:lineChart>
      <c:catAx>
        <c:axId val="96324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96333215"/>
        <c:crosses val="autoZero"/>
        <c:auto val="1"/>
        <c:lblAlgn val="ctr"/>
        <c:lblOffset val="100"/>
        <c:noMultiLvlLbl val="0"/>
      </c:catAx>
      <c:valAx>
        <c:axId val="963332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963240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>
                <a:solidFill>
                  <a:schemeClr val="accent2"/>
                </a:solidFill>
              </a:rPr>
              <a:t>DP</a:t>
            </a:r>
            <a:r>
              <a:rPr lang="de-DE" baseline="0"/>
              <a:t> vs. </a:t>
            </a:r>
            <a:r>
              <a:rPr lang="de-DE" baseline="0">
                <a:solidFill>
                  <a:schemeClr val="accent1"/>
                </a:solidFill>
              </a:rPr>
              <a:t>MCTS</a:t>
            </a:r>
            <a:r>
              <a:rPr lang="de-DE" baseline="0"/>
              <a:t> 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Tabelle1!$J$107:$J$115</c:f>
              <c:numCache>
                <c:formatCode>General</c:formatCode>
                <c:ptCount val="9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  <c:pt idx="5">
                  <c:v>35</c:v>
                </c:pt>
                <c:pt idx="6">
                  <c:v>40</c:v>
                </c:pt>
                <c:pt idx="7">
                  <c:v>45</c:v>
                </c:pt>
                <c:pt idx="8">
                  <c:v>50</c:v>
                </c:pt>
              </c:numCache>
            </c:numRef>
          </c:xVal>
          <c:yVal>
            <c:numRef>
              <c:f>Tabelle1!$K$107:$K$115</c:f>
              <c:numCache>
                <c:formatCode>General</c:formatCode>
                <c:ptCount val="9"/>
                <c:pt idx="0">
                  <c:v>1377</c:v>
                </c:pt>
                <c:pt idx="1">
                  <c:v>1498</c:v>
                </c:pt>
                <c:pt idx="2">
                  <c:v>3171</c:v>
                </c:pt>
                <c:pt idx="3">
                  <c:v>3526</c:v>
                </c:pt>
                <c:pt idx="4">
                  <c:v>4385</c:v>
                </c:pt>
                <c:pt idx="5">
                  <c:v>5571</c:v>
                </c:pt>
                <c:pt idx="6">
                  <c:v>6322</c:v>
                </c:pt>
                <c:pt idx="7">
                  <c:v>7246</c:v>
                </c:pt>
                <c:pt idx="8">
                  <c:v>8528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FDE-4C35-808F-07E0B1CB78D9}"/>
            </c:ext>
          </c:extLst>
        </c:ser>
        <c:ser>
          <c:idx val="1"/>
          <c:order val="1"/>
          <c:tx>
            <c:v>DP Algo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Tabelle1!$J$107:$J$115</c:f>
              <c:numCache>
                <c:formatCode>General</c:formatCode>
                <c:ptCount val="9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  <c:pt idx="5">
                  <c:v>35</c:v>
                </c:pt>
                <c:pt idx="6">
                  <c:v>40</c:v>
                </c:pt>
                <c:pt idx="7">
                  <c:v>45</c:v>
                </c:pt>
                <c:pt idx="8">
                  <c:v>50</c:v>
                </c:pt>
              </c:numCache>
            </c:numRef>
          </c:xVal>
          <c:yVal>
            <c:numRef>
              <c:f>Tabelle1!$L$107:$L$115</c:f>
              <c:numCache>
                <c:formatCode>General</c:formatCode>
                <c:ptCount val="9"/>
                <c:pt idx="0">
                  <c:v>1825</c:v>
                </c:pt>
                <c:pt idx="1">
                  <c:v>2921</c:v>
                </c:pt>
                <c:pt idx="2">
                  <c:v>4044</c:v>
                </c:pt>
                <c:pt idx="3">
                  <c:v>5061</c:v>
                </c:pt>
                <c:pt idx="4">
                  <c:v>6027</c:v>
                </c:pt>
                <c:pt idx="5">
                  <c:v>7057</c:v>
                </c:pt>
                <c:pt idx="6">
                  <c:v>7827</c:v>
                </c:pt>
                <c:pt idx="7">
                  <c:v>8628</c:v>
                </c:pt>
                <c:pt idx="8">
                  <c:v>9534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FDE-4C35-808F-07E0B1CB78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91599695"/>
        <c:axId val="2091600175"/>
      </c:scatterChart>
      <c:valAx>
        <c:axId val="2091599695"/>
        <c:scaling>
          <c:orientation val="minMax"/>
          <c:max val="50"/>
          <c:min val="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Graph</a:t>
                </a:r>
                <a:r>
                  <a:rPr lang="de-DE" baseline="0"/>
                  <a:t> Depth (Timeslots K)</a:t>
                </a:r>
                <a:endParaRPr lang="de-DE"/>
              </a:p>
            </c:rich>
          </c:tx>
          <c:layout>
            <c:manualLayout>
              <c:xMode val="edge"/>
              <c:yMode val="edge"/>
              <c:x val="0.694718999819679"/>
              <c:y val="0.8993810803589671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91600175"/>
        <c:crosses val="autoZero"/>
        <c:crossBetween val="midCat"/>
      </c:valAx>
      <c:valAx>
        <c:axId val="20916001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Time in </a:t>
                </a:r>
                <a:r>
                  <a:rPr lang="el-GR" sz="1000" b="0" i="0" u="none" strike="noStrike" baseline="0">
                    <a:effectLst/>
                  </a:rPr>
                  <a:t>μ</a:t>
                </a:r>
                <a:r>
                  <a:rPr lang="de-DE"/>
                  <a:t>s</a:t>
                </a:r>
              </a:p>
            </c:rich>
          </c:tx>
          <c:layout>
            <c:manualLayout>
              <c:xMode val="edge"/>
              <c:yMode val="edge"/>
              <c:x val="0.11450381679389313"/>
              <c:y val="4.2578150785044087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915996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MCTS Quality for</a:t>
            </a:r>
            <a:r>
              <a:rPr lang="de-DE" baseline="0"/>
              <a:t> Iteration count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Tabelle1!$F$132:$F$151</c:f>
              <c:numCache>
                <c:formatCode>General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</c:numCache>
            </c:numRef>
          </c:xVal>
          <c:yVal>
            <c:numRef>
              <c:f>Tabelle1!$G$132:$G$151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0.97</c:v>
                </c:pt>
                <c:pt idx="4">
                  <c:v>7.08</c:v>
                </c:pt>
                <c:pt idx="5">
                  <c:v>8.07</c:v>
                </c:pt>
                <c:pt idx="6">
                  <c:v>17.96</c:v>
                </c:pt>
                <c:pt idx="7">
                  <c:v>33.89</c:v>
                </c:pt>
                <c:pt idx="8">
                  <c:v>69.94</c:v>
                </c:pt>
                <c:pt idx="9">
                  <c:v>83.02</c:v>
                </c:pt>
                <c:pt idx="10">
                  <c:v>92.06</c:v>
                </c:pt>
                <c:pt idx="11">
                  <c:v>99.12</c:v>
                </c:pt>
                <c:pt idx="12">
                  <c:v>99.86</c:v>
                </c:pt>
                <c:pt idx="13">
                  <c:v>100.16</c:v>
                </c:pt>
                <c:pt idx="14">
                  <c:v>100.37</c:v>
                </c:pt>
                <c:pt idx="15">
                  <c:v>100.2</c:v>
                </c:pt>
                <c:pt idx="16">
                  <c:v>100.34</c:v>
                </c:pt>
                <c:pt idx="17">
                  <c:v>100.56</c:v>
                </c:pt>
                <c:pt idx="18">
                  <c:v>100.46</c:v>
                </c:pt>
                <c:pt idx="19">
                  <c:v>100.69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9E2-4FA5-9814-D87F8EE3B081}"/>
            </c:ext>
          </c:extLst>
        </c:ser>
        <c:ser>
          <c:idx val="1"/>
          <c:order val="1"/>
          <c:tx>
            <c:v>DP algo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Tabelle1!$F$132:$F$151</c:f>
              <c:numCache>
                <c:formatCode>General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</c:numCache>
            </c:numRef>
          </c:xVal>
          <c:yVal>
            <c:numRef>
              <c:f>Tabelle1!$H$132:$H$151</c:f>
              <c:numCache>
                <c:formatCode>General</c:formatCode>
                <c:ptCount val="20"/>
                <c:pt idx="0">
                  <c:v>105</c:v>
                </c:pt>
                <c:pt idx="1">
                  <c:v>105</c:v>
                </c:pt>
                <c:pt idx="2">
                  <c:v>105</c:v>
                </c:pt>
                <c:pt idx="3">
                  <c:v>105</c:v>
                </c:pt>
                <c:pt idx="4">
                  <c:v>105</c:v>
                </c:pt>
                <c:pt idx="5">
                  <c:v>105</c:v>
                </c:pt>
                <c:pt idx="6">
                  <c:v>105</c:v>
                </c:pt>
                <c:pt idx="7">
                  <c:v>105</c:v>
                </c:pt>
                <c:pt idx="8">
                  <c:v>105</c:v>
                </c:pt>
                <c:pt idx="9">
                  <c:v>105</c:v>
                </c:pt>
                <c:pt idx="10">
                  <c:v>105</c:v>
                </c:pt>
                <c:pt idx="11">
                  <c:v>105</c:v>
                </c:pt>
                <c:pt idx="12">
                  <c:v>105</c:v>
                </c:pt>
                <c:pt idx="13">
                  <c:v>105</c:v>
                </c:pt>
                <c:pt idx="14">
                  <c:v>105</c:v>
                </c:pt>
                <c:pt idx="15">
                  <c:v>105</c:v>
                </c:pt>
                <c:pt idx="16">
                  <c:v>105</c:v>
                </c:pt>
                <c:pt idx="17">
                  <c:v>105</c:v>
                </c:pt>
                <c:pt idx="18">
                  <c:v>105</c:v>
                </c:pt>
                <c:pt idx="19">
                  <c:v>105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9E2-4FA5-9814-D87F8EE3B0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6379823"/>
        <c:axId val="1456398063"/>
      </c:scatterChart>
      <c:valAx>
        <c:axId val="1456379823"/>
        <c:scaling>
          <c:orientation val="minMax"/>
          <c:max val="2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Iterations</a:t>
                </a:r>
              </a:p>
            </c:rich>
          </c:tx>
          <c:layout>
            <c:manualLayout>
              <c:xMode val="edge"/>
              <c:yMode val="edge"/>
              <c:x val="0.85133202099737526"/>
              <c:y val="0.8740507436570428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456398063"/>
        <c:crosses val="autoZero"/>
        <c:crossBetween val="midCat"/>
      </c:valAx>
      <c:valAx>
        <c:axId val="14563980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avg. Quality</a:t>
                </a:r>
              </a:p>
            </c:rich>
          </c:tx>
          <c:layout>
            <c:manualLayout>
              <c:xMode val="edge"/>
              <c:yMode val="edge"/>
              <c:x val="3.0555555555555555E-2"/>
              <c:y val="8.231846019247592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4563798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Avg. Charge</a:t>
            </a:r>
            <a:r>
              <a:rPr lang="de-DE" baseline="0"/>
              <a:t> through energy harvesting each month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Tabelle1!$F$156:$F$167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xVal>
          <c:yVal>
            <c:numRef>
              <c:f>Tabelle1!$G$156:$G$167</c:f>
              <c:numCache>
                <c:formatCode>General</c:formatCode>
                <c:ptCount val="12"/>
                <c:pt idx="0">
                  <c:v>10.97</c:v>
                </c:pt>
                <c:pt idx="1">
                  <c:v>15.9</c:v>
                </c:pt>
                <c:pt idx="2">
                  <c:v>22.09</c:v>
                </c:pt>
                <c:pt idx="3">
                  <c:v>30.16</c:v>
                </c:pt>
                <c:pt idx="4">
                  <c:v>36.36</c:v>
                </c:pt>
                <c:pt idx="5">
                  <c:v>38.270000000000003</c:v>
                </c:pt>
                <c:pt idx="6">
                  <c:v>37.409999999999997</c:v>
                </c:pt>
                <c:pt idx="7">
                  <c:v>35.43</c:v>
                </c:pt>
                <c:pt idx="8">
                  <c:v>30.75</c:v>
                </c:pt>
                <c:pt idx="9">
                  <c:v>24.25</c:v>
                </c:pt>
                <c:pt idx="10">
                  <c:v>17.04</c:v>
                </c:pt>
                <c:pt idx="11">
                  <c:v>11.43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E41-4C46-9B70-5E5BB21479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1476719"/>
        <c:axId val="1661484879"/>
      </c:scatterChart>
      <c:valAx>
        <c:axId val="1661476719"/>
        <c:scaling>
          <c:orientation val="minMax"/>
          <c:max val="12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Months</a:t>
                </a:r>
              </a:p>
            </c:rich>
          </c:tx>
          <c:layout>
            <c:manualLayout>
              <c:xMode val="edge"/>
              <c:yMode val="edge"/>
              <c:x val="0.86745013123359571"/>
              <c:y val="0.8833100029163021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661484879"/>
        <c:crosses val="autoZero"/>
        <c:crossBetween val="midCat"/>
        <c:majorUnit val="1"/>
      </c:valAx>
      <c:valAx>
        <c:axId val="1661484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Avg. Charge in mAh</a:t>
                </a:r>
              </a:p>
            </c:rich>
          </c:tx>
          <c:layout>
            <c:manualLayout>
              <c:xMode val="edge"/>
              <c:yMode val="edge"/>
              <c:x val="2.7777777777777776E-2"/>
              <c:y val="0.1420293817439486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6614767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Predicted</a:t>
            </a:r>
            <a:r>
              <a:rPr lang="de-DE" baseline="0"/>
              <a:t> energy harvesting values on first of each month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Tabelle1!$D$177</c:f>
              <c:strCache>
                <c:ptCount val="1"/>
                <c:pt idx="0">
                  <c:v>January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Tabelle1!$C$178:$C$201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Tabelle1!$D$178:$D$201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4</c:v>
                </c:pt>
                <c:pt idx="9">
                  <c:v>25</c:v>
                </c:pt>
                <c:pt idx="10">
                  <c:v>44</c:v>
                </c:pt>
                <c:pt idx="11">
                  <c:v>55</c:v>
                </c:pt>
                <c:pt idx="12">
                  <c:v>55</c:v>
                </c:pt>
                <c:pt idx="13">
                  <c:v>46</c:v>
                </c:pt>
                <c:pt idx="14">
                  <c:v>28</c:v>
                </c:pt>
                <c:pt idx="15">
                  <c:v>6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C64-4104-A36F-E9579CD3F6C3}"/>
            </c:ext>
          </c:extLst>
        </c:ser>
        <c:ser>
          <c:idx val="1"/>
          <c:order val="1"/>
          <c:tx>
            <c:strRef>
              <c:f>Tabelle1!$E$177</c:f>
              <c:strCache>
                <c:ptCount val="1"/>
                <c:pt idx="0">
                  <c:v>February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Tabelle1!$C$178:$C$201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Tabelle1!$E$178:$E$201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12</c:v>
                </c:pt>
                <c:pt idx="9">
                  <c:v>37</c:v>
                </c:pt>
                <c:pt idx="10">
                  <c:v>57</c:v>
                </c:pt>
                <c:pt idx="11">
                  <c:v>68</c:v>
                </c:pt>
                <c:pt idx="12">
                  <c:v>70</c:v>
                </c:pt>
                <c:pt idx="13">
                  <c:v>63</c:v>
                </c:pt>
                <c:pt idx="14">
                  <c:v>47</c:v>
                </c:pt>
                <c:pt idx="15">
                  <c:v>24</c:v>
                </c:pt>
                <c:pt idx="16">
                  <c:v>3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C64-4104-A36F-E9579CD3F6C3}"/>
            </c:ext>
          </c:extLst>
        </c:ser>
        <c:ser>
          <c:idx val="2"/>
          <c:order val="2"/>
          <c:tx>
            <c:strRef>
              <c:f>Tabelle1!$F$177</c:f>
              <c:strCache>
                <c:ptCount val="1"/>
                <c:pt idx="0">
                  <c:v>March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Tabelle1!$C$178:$C$201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Tabelle1!$F$178:$F$201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7</c:v>
                </c:pt>
                <c:pt idx="8">
                  <c:v>30</c:v>
                </c:pt>
                <c:pt idx="9">
                  <c:v>54</c:v>
                </c:pt>
                <c:pt idx="10">
                  <c:v>72</c:v>
                </c:pt>
                <c:pt idx="11">
                  <c:v>83</c:v>
                </c:pt>
                <c:pt idx="12">
                  <c:v>85</c:v>
                </c:pt>
                <c:pt idx="13">
                  <c:v>78</c:v>
                </c:pt>
                <c:pt idx="14">
                  <c:v>63</c:v>
                </c:pt>
                <c:pt idx="15">
                  <c:v>41</c:v>
                </c:pt>
                <c:pt idx="16">
                  <c:v>16</c:v>
                </c:pt>
                <c:pt idx="17">
                  <c:v>1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C64-4104-A36F-E9579CD3F6C3}"/>
            </c:ext>
          </c:extLst>
        </c:ser>
        <c:ser>
          <c:idx val="3"/>
          <c:order val="3"/>
          <c:tx>
            <c:strRef>
              <c:f>Tabelle1!$G$177</c:f>
              <c:strCache>
                <c:ptCount val="1"/>
                <c:pt idx="0">
                  <c:v>April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Tabelle1!$C$178:$C$201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Tabelle1!$G$178:$G$201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7</c:v>
                </c:pt>
                <c:pt idx="7">
                  <c:v>28</c:v>
                </c:pt>
                <c:pt idx="8">
                  <c:v>53</c:v>
                </c:pt>
                <c:pt idx="9">
                  <c:v>75</c:v>
                </c:pt>
                <c:pt idx="10">
                  <c:v>91</c:v>
                </c:pt>
                <c:pt idx="11">
                  <c:v>100</c:v>
                </c:pt>
                <c:pt idx="12">
                  <c:v>101</c:v>
                </c:pt>
                <c:pt idx="13">
                  <c:v>93</c:v>
                </c:pt>
                <c:pt idx="14">
                  <c:v>78</c:v>
                </c:pt>
                <c:pt idx="15">
                  <c:v>56</c:v>
                </c:pt>
                <c:pt idx="16">
                  <c:v>32</c:v>
                </c:pt>
                <c:pt idx="17">
                  <c:v>9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C64-4104-A36F-E9579CD3F6C3}"/>
            </c:ext>
          </c:extLst>
        </c:ser>
        <c:ser>
          <c:idx val="4"/>
          <c:order val="4"/>
          <c:tx>
            <c:strRef>
              <c:f>Tabelle1!$H$177</c:f>
              <c:strCache>
                <c:ptCount val="1"/>
                <c:pt idx="0">
                  <c:v>May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numRef>
              <c:f>Tabelle1!$C$178:$C$201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Tabelle1!$H$178:$H$201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4</c:v>
                </c:pt>
                <c:pt idx="6">
                  <c:v>20</c:v>
                </c:pt>
                <c:pt idx="7">
                  <c:v>44</c:v>
                </c:pt>
                <c:pt idx="8">
                  <c:v>68</c:v>
                </c:pt>
                <c:pt idx="9">
                  <c:v>89</c:v>
                </c:pt>
                <c:pt idx="10">
                  <c:v>104</c:v>
                </c:pt>
                <c:pt idx="11">
                  <c:v>111</c:v>
                </c:pt>
                <c:pt idx="12">
                  <c:v>111</c:v>
                </c:pt>
                <c:pt idx="13">
                  <c:v>103</c:v>
                </c:pt>
                <c:pt idx="14">
                  <c:v>87</c:v>
                </c:pt>
                <c:pt idx="15">
                  <c:v>66</c:v>
                </c:pt>
                <c:pt idx="16">
                  <c:v>42</c:v>
                </c:pt>
                <c:pt idx="17">
                  <c:v>19</c:v>
                </c:pt>
                <c:pt idx="18">
                  <c:v>4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C64-4104-A36F-E9579CD3F6C3}"/>
            </c:ext>
          </c:extLst>
        </c:ser>
        <c:ser>
          <c:idx val="5"/>
          <c:order val="5"/>
          <c:tx>
            <c:strRef>
              <c:f>Tabelle1!$I$177</c:f>
              <c:strCache>
                <c:ptCount val="1"/>
                <c:pt idx="0">
                  <c:v>June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numRef>
              <c:f>Tabelle1!$C$178:$C$201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Tabelle1!$I$178:$I$201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8</c:v>
                </c:pt>
                <c:pt idx="6">
                  <c:v>26</c:v>
                </c:pt>
                <c:pt idx="7">
                  <c:v>49</c:v>
                </c:pt>
                <c:pt idx="8">
                  <c:v>71</c:v>
                </c:pt>
                <c:pt idx="9">
                  <c:v>90</c:v>
                </c:pt>
                <c:pt idx="10">
                  <c:v>104</c:v>
                </c:pt>
                <c:pt idx="11">
                  <c:v>111</c:v>
                </c:pt>
                <c:pt idx="12">
                  <c:v>111</c:v>
                </c:pt>
                <c:pt idx="13">
                  <c:v>104</c:v>
                </c:pt>
                <c:pt idx="14">
                  <c:v>89</c:v>
                </c:pt>
                <c:pt idx="15">
                  <c:v>70</c:v>
                </c:pt>
                <c:pt idx="16">
                  <c:v>48</c:v>
                </c:pt>
                <c:pt idx="17">
                  <c:v>25</c:v>
                </c:pt>
                <c:pt idx="18">
                  <c:v>8</c:v>
                </c:pt>
                <c:pt idx="19">
                  <c:v>1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C64-4104-A36F-E9579CD3F6C3}"/>
            </c:ext>
          </c:extLst>
        </c:ser>
        <c:ser>
          <c:idx val="6"/>
          <c:order val="6"/>
          <c:tx>
            <c:strRef>
              <c:f>Tabelle1!$J$177</c:f>
              <c:strCache>
                <c:ptCount val="1"/>
                <c:pt idx="0">
                  <c:v>July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numRef>
              <c:f>Tabelle1!$C$178:$C$201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Tabelle1!$J$178:$J$201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8</c:v>
                </c:pt>
                <c:pt idx="6">
                  <c:v>24</c:v>
                </c:pt>
                <c:pt idx="7">
                  <c:v>46</c:v>
                </c:pt>
                <c:pt idx="8">
                  <c:v>67</c:v>
                </c:pt>
                <c:pt idx="9">
                  <c:v>86</c:v>
                </c:pt>
                <c:pt idx="10">
                  <c:v>100</c:v>
                </c:pt>
                <c:pt idx="11">
                  <c:v>108</c:v>
                </c:pt>
                <c:pt idx="12">
                  <c:v>108</c:v>
                </c:pt>
                <c:pt idx="13">
                  <c:v>102</c:v>
                </c:pt>
                <c:pt idx="14">
                  <c:v>89</c:v>
                </c:pt>
                <c:pt idx="15">
                  <c:v>70</c:v>
                </c:pt>
                <c:pt idx="16">
                  <c:v>49</c:v>
                </c:pt>
                <c:pt idx="17">
                  <c:v>27</c:v>
                </c:pt>
                <c:pt idx="18">
                  <c:v>10</c:v>
                </c:pt>
                <c:pt idx="19">
                  <c:v>2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C64-4104-A36F-E9579CD3F6C3}"/>
            </c:ext>
          </c:extLst>
        </c:ser>
        <c:ser>
          <c:idx val="7"/>
          <c:order val="7"/>
          <c:tx>
            <c:strRef>
              <c:f>Tabelle1!$K$177</c:f>
              <c:strCache>
                <c:ptCount val="1"/>
                <c:pt idx="0">
                  <c:v>August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numRef>
              <c:f>Tabelle1!$C$178:$C$201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Tabelle1!$K$178:$K$201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4</c:v>
                </c:pt>
                <c:pt idx="6">
                  <c:v>19</c:v>
                </c:pt>
                <c:pt idx="7">
                  <c:v>40</c:v>
                </c:pt>
                <c:pt idx="8">
                  <c:v>63</c:v>
                </c:pt>
                <c:pt idx="9">
                  <c:v>83</c:v>
                </c:pt>
                <c:pt idx="10">
                  <c:v>98</c:v>
                </c:pt>
                <c:pt idx="11">
                  <c:v>106</c:v>
                </c:pt>
                <c:pt idx="12">
                  <c:v>107</c:v>
                </c:pt>
                <c:pt idx="13">
                  <c:v>100</c:v>
                </c:pt>
                <c:pt idx="14">
                  <c:v>87</c:v>
                </c:pt>
                <c:pt idx="15">
                  <c:v>68</c:v>
                </c:pt>
                <c:pt idx="16">
                  <c:v>45</c:v>
                </c:pt>
                <c:pt idx="17">
                  <c:v>23</c:v>
                </c:pt>
                <c:pt idx="18">
                  <c:v>6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C64-4104-A36F-E9579CD3F6C3}"/>
            </c:ext>
          </c:extLst>
        </c:ser>
        <c:ser>
          <c:idx val="8"/>
          <c:order val="8"/>
          <c:tx>
            <c:strRef>
              <c:f>Tabelle1!$L$177</c:f>
              <c:strCache>
                <c:ptCount val="1"/>
                <c:pt idx="0">
                  <c:v>September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numRef>
              <c:f>Tabelle1!$C$178:$C$201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Tabelle1!$L$178:$L$201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11</c:v>
                </c:pt>
                <c:pt idx="7">
                  <c:v>32</c:v>
                </c:pt>
                <c:pt idx="8">
                  <c:v>56</c:v>
                </c:pt>
                <c:pt idx="9">
                  <c:v>77</c:v>
                </c:pt>
                <c:pt idx="10">
                  <c:v>92</c:v>
                </c:pt>
                <c:pt idx="11">
                  <c:v>100</c:v>
                </c:pt>
                <c:pt idx="12">
                  <c:v>100</c:v>
                </c:pt>
                <c:pt idx="13">
                  <c:v>92</c:v>
                </c:pt>
                <c:pt idx="14">
                  <c:v>77</c:v>
                </c:pt>
                <c:pt idx="15">
                  <c:v>56</c:v>
                </c:pt>
                <c:pt idx="16">
                  <c:v>32</c:v>
                </c:pt>
                <c:pt idx="17">
                  <c:v>11</c:v>
                </c:pt>
                <c:pt idx="18">
                  <c:v>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6C64-4104-A36F-E9579CD3F6C3}"/>
            </c:ext>
          </c:extLst>
        </c:ser>
        <c:ser>
          <c:idx val="9"/>
          <c:order val="9"/>
          <c:tx>
            <c:strRef>
              <c:f>Tabelle1!$M$177</c:f>
              <c:strCache>
                <c:ptCount val="1"/>
                <c:pt idx="0">
                  <c:v>October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numRef>
              <c:f>Tabelle1!$C$178:$C$201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Tabelle1!$M$178:$M$201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3</c:v>
                </c:pt>
                <c:pt idx="7">
                  <c:v>21</c:v>
                </c:pt>
                <c:pt idx="8">
                  <c:v>45</c:v>
                </c:pt>
                <c:pt idx="9">
                  <c:v>67</c:v>
                </c:pt>
                <c:pt idx="10">
                  <c:v>82</c:v>
                </c:pt>
                <c:pt idx="11">
                  <c:v>89</c:v>
                </c:pt>
                <c:pt idx="12">
                  <c:v>87</c:v>
                </c:pt>
                <c:pt idx="13">
                  <c:v>78</c:v>
                </c:pt>
                <c:pt idx="14">
                  <c:v>60</c:v>
                </c:pt>
                <c:pt idx="15">
                  <c:v>37</c:v>
                </c:pt>
                <c:pt idx="16">
                  <c:v>13</c:v>
                </c:pt>
                <c:pt idx="17">
                  <c:v>1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6C64-4104-A36F-E9579CD3F6C3}"/>
            </c:ext>
          </c:extLst>
        </c:ser>
        <c:ser>
          <c:idx val="10"/>
          <c:order val="10"/>
          <c:tx>
            <c:strRef>
              <c:f>Tabelle1!$N$177</c:f>
              <c:strCache>
                <c:ptCount val="1"/>
                <c:pt idx="0">
                  <c:v>November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numRef>
              <c:f>Tabelle1!$C$178:$C$201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Tabelle1!$N$178:$N$201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6</c:v>
                </c:pt>
                <c:pt idx="8">
                  <c:v>29</c:v>
                </c:pt>
                <c:pt idx="9">
                  <c:v>51</c:v>
                </c:pt>
                <c:pt idx="10">
                  <c:v>66</c:v>
                </c:pt>
                <c:pt idx="11">
                  <c:v>73</c:v>
                </c:pt>
                <c:pt idx="12">
                  <c:v>70</c:v>
                </c:pt>
                <c:pt idx="13">
                  <c:v>59</c:v>
                </c:pt>
                <c:pt idx="14">
                  <c:v>40</c:v>
                </c:pt>
                <c:pt idx="15">
                  <c:v>15</c:v>
                </c:pt>
                <c:pt idx="16">
                  <c:v>1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6C64-4104-A36F-E9579CD3F6C3}"/>
            </c:ext>
          </c:extLst>
        </c:ser>
        <c:ser>
          <c:idx val="11"/>
          <c:order val="11"/>
          <c:tx>
            <c:strRef>
              <c:f>Tabelle1!$O$177</c:f>
              <c:strCache>
                <c:ptCount val="1"/>
                <c:pt idx="0">
                  <c:v>December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numRef>
              <c:f>Tabelle1!$C$178:$C$201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Tabelle1!$O$178:$O$201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9</c:v>
                </c:pt>
                <c:pt idx="9">
                  <c:v>32</c:v>
                </c:pt>
                <c:pt idx="10">
                  <c:v>49</c:v>
                </c:pt>
                <c:pt idx="11">
                  <c:v>57</c:v>
                </c:pt>
                <c:pt idx="12">
                  <c:v>55</c:v>
                </c:pt>
                <c:pt idx="13">
                  <c:v>44</c:v>
                </c:pt>
                <c:pt idx="14">
                  <c:v>24</c:v>
                </c:pt>
                <c:pt idx="15">
                  <c:v>4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6C64-4104-A36F-E9579CD3F6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8362128"/>
        <c:axId val="158372688"/>
      </c:lineChart>
      <c:catAx>
        <c:axId val="15836212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hour</a:t>
                </a:r>
                <a:r>
                  <a:rPr lang="de-DE" baseline="0"/>
                  <a:t> of the day</a:t>
                </a:r>
              </a:p>
            </c:rich>
          </c:tx>
          <c:layout>
            <c:manualLayout>
              <c:xMode val="edge"/>
              <c:yMode val="edge"/>
              <c:x val="0.88625305139392718"/>
              <c:y val="0.8354774777204027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8372688"/>
        <c:crosses val="autoZero"/>
        <c:auto val="1"/>
        <c:lblAlgn val="ctr"/>
        <c:lblOffset val="100"/>
        <c:noMultiLvlLbl val="0"/>
      </c:catAx>
      <c:valAx>
        <c:axId val="158372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energy prediction in mAh</a:t>
                </a:r>
              </a:p>
            </c:rich>
          </c:tx>
          <c:layout>
            <c:manualLayout>
              <c:xMode val="edge"/>
              <c:yMode val="edge"/>
              <c:x val="1.5067879611201249E-2"/>
              <c:y val="9.4663993702701552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8362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actual vs. predicted energy harvesting values on 01.06.2023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Tabelle1!$E$263</c:f>
              <c:strCache>
                <c:ptCount val="1"/>
                <c:pt idx="0">
                  <c:v>actual: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Tabelle1!$D$264:$D$287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Tabelle1!$E$264:$E$287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4</c:v>
                </c:pt>
                <c:pt idx="5">
                  <c:v>12</c:v>
                </c:pt>
                <c:pt idx="6">
                  <c:v>27</c:v>
                </c:pt>
                <c:pt idx="7">
                  <c:v>34</c:v>
                </c:pt>
                <c:pt idx="8">
                  <c:v>40</c:v>
                </c:pt>
                <c:pt idx="9">
                  <c:v>17</c:v>
                </c:pt>
                <c:pt idx="10">
                  <c:v>70</c:v>
                </c:pt>
                <c:pt idx="11">
                  <c:v>81</c:v>
                </c:pt>
                <c:pt idx="12">
                  <c:v>41</c:v>
                </c:pt>
                <c:pt idx="13">
                  <c:v>49</c:v>
                </c:pt>
                <c:pt idx="14">
                  <c:v>44</c:v>
                </c:pt>
                <c:pt idx="15">
                  <c:v>48</c:v>
                </c:pt>
                <c:pt idx="16">
                  <c:v>26</c:v>
                </c:pt>
                <c:pt idx="17">
                  <c:v>12</c:v>
                </c:pt>
                <c:pt idx="18">
                  <c:v>5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D9A-4D9F-BE39-F9356BC1E35D}"/>
            </c:ext>
          </c:extLst>
        </c:ser>
        <c:ser>
          <c:idx val="1"/>
          <c:order val="1"/>
          <c:tx>
            <c:strRef>
              <c:f>Tabelle1!$F$263</c:f>
              <c:strCache>
                <c:ptCount val="1"/>
                <c:pt idx="0">
                  <c:v>predicted: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Tabelle1!$D$264:$D$287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Tabelle1!$F$264:$F$287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10</c:v>
                </c:pt>
                <c:pt idx="6">
                  <c:v>27</c:v>
                </c:pt>
                <c:pt idx="7">
                  <c:v>49</c:v>
                </c:pt>
                <c:pt idx="8">
                  <c:v>71</c:v>
                </c:pt>
                <c:pt idx="9">
                  <c:v>89</c:v>
                </c:pt>
                <c:pt idx="10">
                  <c:v>102</c:v>
                </c:pt>
                <c:pt idx="11">
                  <c:v>109</c:v>
                </c:pt>
                <c:pt idx="12">
                  <c:v>108</c:v>
                </c:pt>
                <c:pt idx="13">
                  <c:v>100</c:v>
                </c:pt>
                <c:pt idx="14">
                  <c:v>86</c:v>
                </c:pt>
                <c:pt idx="15">
                  <c:v>67</c:v>
                </c:pt>
                <c:pt idx="16">
                  <c:v>45</c:v>
                </c:pt>
                <c:pt idx="17">
                  <c:v>24</c:v>
                </c:pt>
                <c:pt idx="18">
                  <c:v>8</c:v>
                </c:pt>
                <c:pt idx="19">
                  <c:v>1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D9A-4D9F-BE39-F9356BC1E3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2424384"/>
        <c:axId val="422440224"/>
      </c:lineChart>
      <c:catAx>
        <c:axId val="42242438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hour of the day</a:t>
                </a:r>
              </a:p>
            </c:rich>
          </c:tx>
          <c:layout>
            <c:manualLayout>
              <c:xMode val="edge"/>
              <c:yMode val="edge"/>
              <c:x val="0.88312521797680055"/>
              <c:y val="0.8763027316311164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22440224"/>
        <c:crosses val="autoZero"/>
        <c:auto val="1"/>
        <c:lblAlgn val="ctr"/>
        <c:lblOffset val="100"/>
        <c:noMultiLvlLbl val="0"/>
      </c:catAx>
      <c:valAx>
        <c:axId val="422440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energy prediction in mAh</a:t>
                </a:r>
              </a:p>
            </c:rich>
          </c:tx>
          <c:layout>
            <c:manualLayout>
              <c:xMode val="edge"/>
              <c:yMode val="edge"/>
              <c:x val="1.0398998932997379E-2"/>
              <c:y val="8.8081100949943231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224243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40281682175191147"/>
          <c:y val="0.88319278572573157"/>
          <c:w val="0.30225348300307531"/>
          <c:h val="0.1004610602218486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actual vs. predicted energy harvesting values on 01.01.2023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Tabelle1!$E$295</c:f>
              <c:strCache>
                <c:ptCount val="1"/>
                <c:pt idx="0">
                  <c:v>actual: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Tabelle1!$D$296:$D$319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Tabelle1!$E$296:$E$319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30</c:v>
                </c:pt>
                <c:pt idx="10">
                  <c:v>29</c:v>
                </c:pt>
                <c:pt idx="11">
                  <c:v>28</c:v>
                </c:pt>
                <c:pt idx="12">
                  <c:v>27</c:v>
                </c:pt>
                <c:pt idx="13">
                  <c:v>25</c:v>
                </c:pt>
                <c:pt idx="14">
                  <c:v>13</c:v>
                </c:pt>
                <c:pt idx="15">
                  <c:v>5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B98-416E-89CB-EDC6E8255FCC}"/>
            </c:ext>
          </c:extLst>
        </c:ser>
        <c:ser>
          <c:idx val="1"/>
          <c:order val="1"/>
          <c:tx>
            <c:strRef>
              <c:f>Tabelle1!$F$295</c:f>
              <c:strCache>
                <c:ptCount val="1"/>
                <c:pt idx="0">
                  <c:v>predicted: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Tabelle1!$D$296:$D$319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Tabelle1!$F$296:$F$319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6</c:v>
                </c:pt>
                <c:pt idx="9">
                  <c:v>29</c:v>
                </c:pt>
                <c:pt idx="10">
                  <c:v>47</c:v>
                </c:pt>
                <c:pt idx="11">
                  <c:v>55</c:v>
                </c:pt>
                <c:pt idx="12">
                  <c:v>55</c:v>
                </c:pt>
                <c:pt idx="13">
                  <c:v>44</c:v>
                </c:pt>
                <c:pt idx="14">
                  <c:v>24</c:v>
                </c:pt>
                <c:pt idx="15">
                  <c:v>3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B98-416E-89CB-EDC6E8255F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4034992"/>
        <c:axId val="404015792"/>
      </c:lineChart>
      <c:catAx>
        <c:axId val="40403499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hour of the day</a:t>
                </a:r>
              </a:p>
            </c:rich>
          </c:tx>
          <c:layout>
            <c:manualLayout>
              <c:xMode val="edge"/>
              <c:yMode val="edge"/>
              <c:x val="0.88508271012043538"/>
              <c:y val="0.878205537355849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04015792"/>
        <c:crosses val="autoZero"/>
        <c:auto val="1"/>
        <c:lblAlgn val="ctr"/>
        <c:lblOffset val="100"/>
        <c:noMultiLvlLbl val="0"/>
      </c:catAx>
      <c:valAx>
        <c:axId val="404015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energy prediction in mAh</a:t>
                </a:r>
              </a:p>
            </c:rich>
          </c:tx>
          <c:layout>
            <c:manualLayout>
              <c:xMode val="edge"/>
              <c:yMode val="edge"/>
              <c:x val="1.0445466849507376E-2"/>
              <c:y val="8.0365819409627448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040349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45708810698413999"/>
          <c:y val="0.89645701456384252"/>
          <c:w val="0.23355241397793811"/>
          <c:h val="8.834405901491806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Battery</a:t>
            </a:r>
            <a:r>
              <a:rPr lang="de-DE" baseline="0"/>
              <a:t> discharge mode</a:t>
            </a:r>
            <a:r>
              <a:rPr lang="de-DE"/>
              <a:t>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Tabelle1!$H$326</c:f>
              <c:strCache>
                <c:ptCount val="1"/>
                <c:pt idx="0">
                  <c:v>25mA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Tabelle1!$G$327:$G$418</c:f>
              <c:numCache>
                <c:formatCode>General</c:formatCode>
                <c:ptCount val="9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</c:numCache>
            </c:numRef>
          </c:cat>
          <c:val>
            <c:numRef>
              <c:f>Tabelle1!$H$327:$H$418</c:f>
              <c:numCache>
                <c:formatCode>General</c:formatCode>
                <c:ptCount val="92"/>
                <c:pt idx="0">
                  <c:v>2500</c:v>
                </c:pt>
                <c:pt idx="1">
                  <c:v>2472.5</c:v>
                </c:pt>
                <c:pt idx="2">
                  <c:v>2445</c:v>
                </c:pt>
                <c:pt idx="3">
                  <c:v>2417.5</c:v>
                </c:pt>
                <c:pt idx="4">
                  <c:v>2390</c:v>
                </c:pt>
                <c:pt idx="5">
                  <c:v>2362.5</c:v>
                </c:pt>
                <c:pt idx="6">
                  <c:v>2335</c:v>
                </c:pt>
                <c:pt idx="7">
                  <c:v>2307.5</c:v>
                </c:pt>
                <c:pt idx="8">
                  <c:v>2280</c:v>
                </c:pt>
                <c:pt idx="9">
                  <c:v>2252.5</c:v>
                </c:pt>
                <c:pt idx="10">
                  <c:v>2225</c:v>
                </c:pt>
                <c:pt idx="11">
                  <c:v>2197.5</c:v>
                </c:pt>
                <c:pt idx="12">
                  <c:v>2170</c:v>
                </c:pt>
                <c:pt idx="13">
                  <c:v>2142.5</c:v>
                </c:pt>
                <c:pt idx="14">
                  <c:v>2115</c:v>
                </c:pt>
                <c:pt idx="15">
                  <c:v>2087.5</c:v>
                </c:pt>
                <c:pt idx="16">
                  <c:v>2060</c:v>
                </c:pt>
                <c:pt idx="17">
                  <c:v>2032.5</c:v>
                </c:pt>
                <c:pt idx="18">
                  <c:v>2005</c:v>
                </c:pt>
                <c:pt idx="19">
                  <c:v>1977.5</c:v>
                </c:pt>
                <c:pt idx="20">
                  <c:v>1950</c:v>
                </c:pt>
                <c:pt idx="21">
                  <c:v>1922.5</c:v>
                </c:pt>
                <c:pt idx="22">
                  <c:v>1895</c:v>
                </c:pt>
                <c:pt idx="23">
                  <c:v>1867.5</c:v>
                </c:pt>
                <c:pt idx="24">
                  <c:v>1840</c:v>
                </c:pt>
                <c:pt idx="25">
                  <c:v>1812.5</c:v>
                </c:pt>
                <c:pt idx="26">
                  <c:v>1785</c:v>
                </c:pt>
                <c:pt idx="27">
                  <c:v>1757.5</c:v>
                </c:pt>
                <c:pt idx="28">
                  <c:v>1730</c:v>
                </c:pt>
                <c:pt idx="29">
                  <c:v>1702.5</c:v>
                </c:pt>
                <c:pt idx="30">
                  <c:v>1675</c:v>
                </c:pt>
                <c:pt idx="31">
                  <c:v>1647.5</c:v>
                </c:pt>
                <c:pt idx="32">
                  <c:v>1620</c:v>
                </c:pt>
                <c:pt idx="33">
                  <c:v>1592.5</c:v>
                </c:pt>
                <c:pt idx="34">
                  <c:v>1565</c:v>
                </c:pt>
                <c:pt idx="35">
                  <c:v>1537.5</c:v>
                </c:pt>
                <c:pt idx="36">
                  <c:v>1510</c:v>
                </c:pt>
                <c:pt idx="37">
                  <c:v>1482.5</c:v>
                </c:pt>
                <c:pt idx="38">
                  <c:v>1455</c:v>
                </c:pt>
                <c:pt idx="39">
                  <c:v>1427.5</c:v>
                </c:pt>
                <c:pt idx="40">
                  <c:v>1400</c:v>
                </c:pt>
                <c:pt idx="41">
                  <c:v>1372.5</c:v>
                </c:pt>
                <c:pt idx="42">
                  <c:v>1345</c:v>
                </c:pt>
                <c:pt idx="43">
                  <c:v>1317.5</c:v>
                </c:pt>
                <c:pt idx="44">
                  <c:v>1290</c:v>
                </c:pt>
                <c:pt idx="45">
                  <c:v>1262.5</c:v>
                </c:pt>
                <c:pt idx="46">
                  <c:v>1235</c:v>
                </c:pt>
                <c:pt idx="47">
                  <c:v>1207.5</c:v>
                </c:pt>
                <c:pt idx="48">
                  <c:v>1180</c:v>
                </c:pt>
                <c:pt idx="49">
                  <c:v>1152.5</c:v>
                </c:pt>
                <c:pt idx="50">
                  <c:v>1125</c:v>
                </c:pt>
                <c:pt idx="51">
                  <c:v>1097.5</c:v>
                </c:pt>
                <c:pt idx="52">
                  <c:v>1070</c:v>
                </c:pt>
                <c:pt idx="53">
                  <c:v>1042.5</c:v>
                </c:pt>
                <c:pt idx="54">
                  <c:v>1015</c:v>
                </c:pt>
                <c:pt idx="55">
                  <c:v>987.5</c:v>
                </c:pt>
                <c:pt idx="56">
                  <c:v>960</c:v>
                </c:pt>
                <c:pt idx="57">
                  <c:v>932.5</c:v>
                </c:pt>
                <c:pt idx="58">
                  <c:v>905</c:v>
                </c:pt>
                <c:pt idx="59">
                  <c:v>877.5</c:v>
                </c:pt>
                <c:pt idx="60">
                  <c:v>850</c:v>
                </c:pt>
                <c:pt idx="61">
                  <c:v>822.5</c:v>
                </c:pt>
                <c:pt idx="62">
                  <c:v>795</c:v>
                </c:pt>
                <c:pt idx="63">
                  <c:v>767.5</c:v>
                </c:pt>
                <c:pt idx="64">
                  <c:v>740</c:v>
                </c:pt>
                <c:pt idx="65">
                  <c:v>712.5</c:v>
                </c:pt>
                <c:pt idx="66">
                  <c:v>685</c:v>
                </c:pt>
                <c:pt idx="67">
                  <c:v>657.5</c:v>
                </c:pt>
                <c:pt idx="68">
                  <c:v>630</c:v>
                </c:pt>
                <c:pt idx="69">
                  <c:v>602.5</c:v>
                </c:pt>
                <c:pt idx="70">
                  <c:v>575</c:v>
                </c:pt>
                <c:pt idx="71">
                  <c:v>547.5</c:v>
                </c:pt>
                <c:pt idx="72">
                  <c:v>520</c:v>
                </c:pt>
                <c:pt idx="73">
                  <c:v>492.5</c:v>
                </c:pt>
                <c:pt idx="74">
                  <c:v>465</c:v>
                </c:pt>
                <c:pt idx="75">
                  <c:v>437.5</c:v>
                </c:pt>
                <c:pt idx="76">
                  <c:v>410</c:v>
                </c:pt>
                <c:pt idx="77">
                  <c:v>382.5</c:v>
                </c:pt>
                <c:pt idx="78">
                  <c:v>355</c:v>
                </c:pt>
                <c:pt idx="79">
                  <c:v>327.5</c:v>
                </c:pt>
                <c:pt idx="80">
                  <c:v>300</c:v>
                </c:pt>
                <c:pt idx="81">
                  <c:v>272.5</c:v>
                </c:pt>
                <c:pt idx="82">
                  <c:v>245</c:v>
                </c:pt>
                <c:pt idx="83">
                  <c:v>217.5</c:v>
                </c:pt>
                <c:pt idx="84">
                  <c:v>190</c:v>
                </c:pt>
                <c:pt idx="85">
                  <c:v>162.5</c:v>
                </c:pt>
                <c:pt idx="86">
                  <c:v>135</c:v>
                </c:pt>
                <c:pt idx="87">
                  <c:v>107.5</c:v>
                </c:pt>
                <c:pt idx="88">
                  <c:v>80</c:v>
                </c:pt>
                <c:pt idx="89">
                  <c:v>52.5</c:v>
                </c:pt>
                <c:pt idx="90">
                  <c:v>25</c:v>
                </c:pt>
                <c:pt idx="9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1DA-4805-BC1B-B59D62804D9C}"/>
            </c:ext>
          </c:extLst>
        </c:ser>
        <c:ser>
          <c:idx val="1"/>
          <c:order val="1"/>
          <c:tx>
            <c:strRef>
              <c:f>Tabelle1!$I$326</c:f>
              <c:strCache>
                <c:ptCount val="1"/>
                <c:pt idx="0">
                  <c:v>50mA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Tabelle1!$G$327:$G$418</c:f>
              <c:numCache>
                <c:formatCode>General</c:formatCode>
                <c:ptCount val="9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</c:numCache>
            </c:numRef>
          </c:cat>
          <c:val>
            <c:numRef>
              <c:f>Tabelle1!$I$327:$I$418</c:f>
              <c:numCache>
                <c:formatCode>General</c:formatCode>
                <c:ptCount val="92"/>
                <c:pt idx="0">
                  <c:v>2500</c:v>
                </c:pt>
                <c:pt idx="1">
                  <c:v>2445</c:v>
                </c:pt>
                <c:pt idx="2">
                  <c:v>2390</c:v>
                </c:pt>
                <c:pt idx="3">
                  <c:v>2335</c:v>
                </c:pt>
                <c:pt idx="4">
                  <c:v>2280</c:v>
                </c:pt>
                <c:pt idx="5">
                  <c:v>2225</c:v>
                </c:pt>
                <c:pt idx="6">
                  <c:v>2170</c:v>
                </c:pt>
                <c:pt idx="7">
                  <c:v>2115</c:v>
                </c:pt>
                <c:pt idx="8">
                  <c:v>2060</c:v>
                </c:pt>
                <c:pt idx="9">
                  <c:v>2005</c:v>
                </c:pt>
                <c:pt idx="10">
                  <c:v>1950</c:v>
                </c:pt>
                <c:pt idx="11">
                  <c:v>1895</c:v>
                </c:pt>
                <c:pt idx="12">
                  <c:v>1840</c:v>
                </c:pt>
                <c:pt idx="13">
                  <c:v>1785</c:v>
                </c:pt>
                <c:pt idx="14">
                  <c:v>1730</c:v>
                </c:pt>
                <c:pt idx="15">
                  <c:v>1675</c:v>
                </c:pt>
                <c:pt idx="16">
                  <c:v>1620</c:v>
                </c:pt>
                <c:pt idx="17">
                  <c:v>1565</c:v>
                </c:pt>
                <c:pt idx="18">
                  <c:v>1510</c:v>
                </c:pt>
                <c:pt idx="19">
                  <c:v>1455</c:v>
                </c:pt>
                <c:pt idx="20">
                  <c:v>1400</c:v>
                </c:pt>
                <c:pt idx="21">
                  <c:v>1345</c:v>
                </c:pt>
                <c:pt idx="22">
                  <c:v>1290</c:v>
                </c:pt>
                <c:pt idx="23">
                  <c:v>1235</c:v>
                </c:pt>
                <c:pt idx="24">
                  <c:v>1180</c:v>
                </c:pt>
                <c:pt idx="25">
                  <c:v>1125</c:v>
                </c:pt>
                <c:pt idx="26">
                  <c:v>1070</c:v>
                </c:pt>
                <c:pt idx="27">
                  <c:v>1015</c:v>
                </c:pt>
                <c:pt idx="28">
                  <c:v>960</c:v>
                </c:pt>
                <c:pt idx="29">
                  <c:v>905</c:v>
                </c:pt>
                <c:pt idx="30">
                  <c:v>850</c:v>
                </c:pt>
                <c:pt idx="31">
                  <c:v>795</c:v>
                </c:pt>
                <c:pt idx="32">
                  <c:v>740</c:v>
                </c:pt>
                <c:pt idx="33">
                  <c:v>685</c:v>
                </c:pt>
                <c:pt idx="34">
                  <c:v>630</c:v>
                </c:pt>
                <c:pt idx="35">
                  <c:v>575</c:v>
                </c:pt>
                <c:pt idx="36">
                  <c:v>520</c:v>
                </c:pt>
                <c:pt idx="37">
                  <c:v>465</c:v>
                </c:pt>
                <c:pt idx="38">
                  <c:v>410</c:v>
                </c:pt>
                <c:pt idx="39">
                  <c:v>355</c:v>
                </c:pt>
                <c:pt idx="40">
                  <c:v>300</c:v>
                </c:pt>
                <c:pt idx="41">
                  <c:v>245</c:v>
                </c:pt>
                <c:pt idx="42">
                  <c:v>190</c:v>
                </c:pt>
                <c:pt idx="43">
                  <c:v>135</c:v>
                </c:pt>
                <c:pt idx="44">
                  <c:v>80</c:v>
                </c:pt>
                <c:pt idx="45">
                  <c:v>25</c:v>
                </c:pt>
                <c:pt idx="4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1DA-4805-BC1B-B59D62804D9C}"/>
            </c:ext>
          </c:extLst>
        </c:ser>
        <c:ser>
          <c:idx val="2"/>
          <c:order val="2"/>
          <c:tx>
            <c:strRef>
              <c:f>Tabelle1!$J$326</c:f>
              <c:strCache>
                <c:ptCount val="1"/>
                <c:pt idx="0">
                  <c:v>75mA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Tabelle1!$G$327:$G$418</c:f>
              <c:numCache>
                <c:formatCode>General</c:formatCode>
                <c:ptCount val="9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</c:numCache>
            </c:numRef>
          </c:cat>
          <c:val>
            <c:numRef>
              <c:f>Tabelle1!$J$327:$J$418</c:f>
              <c:numCache>
                <c:formatCode>General</c:formatCode>
                <c:ptCount val="92"/>
                <c:pt idx="0">
                  <c:v>2500</c:v>
                </c:pt>
                <c:pt idx="1">
                  <c:v>2417.5</c:v>
                </c:pt>
                <c:pt idx="2">
                  <c:v>2335</c:v>
                </c:pt>
                <c:pt idx="3">
                  <c:v>2252.5</c:v>
                </c:pt>
                <c:pt idx="4">
                  <c:v>2170</c:v>
                </c:pt>
                <c:pt idx="5">
                  <c:v>2087.5</c:v>
                </c:pt>
                <c:pt idx="6">
                  <c:v>2005</c:v>
                </c:pt>
                <c:pt idx="7">
                  <c:v>1922.5</c:v>
                </c:pt>
                <c:pt idx="8">
                  <c:v>1840</c:v>
                </c:pt>
                <c:pt idx="9">
                  <c:v>1757.5</c:v>
                </c:pt>
                <c:pt idx="10">
                  <c:v>1675</c:v>
                </c:pt>
                <c:pt idx="11">
                  <c:v>1592.5</c:v>
                </c:pt>
                <c:pt idx="12">
                  <c:v>1510</c:v>
                </c:pt>
                <c:pt idx="13">
                  <c:v>1427.5</c:v>
                </c:pt>
                <c:pt idx="14">
                  <c:v>1345</c:v>
                </c:pt>
                <c:pt idx="15">
                  <c:v>1262.5</c:v>
                </c:pt>
                <c:pt idx="16">
                  <c:v>1180</c:v>
                </c:pt>
                <c:pt idx="17">
                  <c:v>1097.5</c:v>
                </c:pt>
                <c:pt idx="18">
                  <c:v>1015</c:v>
                </c:pt>
                <c:pt idx="19">
                  <c:v>932.5</c:v>
                </c:pt>
                <c:pt idx="20">
                  <c:v>850</c:v>
                </c:pt>
                <c:pt idx="21">
                  <c:v>767.5</c:v>
                </c:pt>
                <c:pt idx="22">
                  <c:v>685</c:v>
                </c:pt>
                <c:pt idx="23">
                  <c:v>602.5</c:v>
                </c:pt>
                <c:pt idx="24">
                  <c:v>520</c:v>
                </c:pt>
                <c:pt idx="25">
                  <c:v>437.5</c:v>
                </c:pt>
                <c:pt idx="26">
                  <c:v>355</c:v>
                </c:pt>
                <c:pt idx="27">
                  <c:v>272.5</c:v>
                </c:pt>
                <c:pt idx="28">
                  <c:v>190</c:v>
                </c:pt>
                <c:pt idx="29">
                  <c:v>107.5</c:v>
                </c:pt>
                <c:pt idx="30">
                  <c:v>25</c:v>
                </c:pt>
                <c:pt idx="3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1DA-4805-BC1B-B59D62804D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7509152"/>
        <c:axId val="1987511072"/>
      </c:lineChart>
      <c:catAx>
        <c:axId val="198750915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hours</a:t>
                </a:r>
              </a:p>
            </c:rich>
          </c:tx>
          <c:layout>
            <c:manualLayout>
              <c:xMode val="edge"/>
              <c:yMode val="edge"/>
              <c:x val="0.90089763779527554"/>
              <c:y val="0.772777048702245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87511072"/>
        <c:crosses val="autoZero"/>
        <c:auto val="1"/>
        <c:lblAlgn val="ctr"/>
        <c:lblOffset val="100"/>
        <c:tickLblSkip val="10"/>
        <c:noMultiLvlLbl val="0"/>
      </c:catAx>
      <c:valAx>
        <c:axId val="1987511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battery charge in mAh</a:t>
                </a:r>
              </a:p>
            </c:rich>
          </c:tx>
          <c:layout>
            <c:manualLayout>
              <c:xMode val="edge"/>
              <c:yMode val="edge"/>
              <c:x val="2.5000000000000001E-2"/>
              <c:y val="0.1307443861184018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875091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3060564304461942"/>
          <c:y val="0.83391149023038769"/>
          <c:w val="0.50267760279965013"/>
          <c:h val="0.1383107319918343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hours to charge battery in each month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Tabelle1!$N$353:$N$364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xVal>
          <c:yVal>
            <c:numRef>
              <c:f>Tabelle1!$O$353:$O$364</c:f>
              <c:numCache>
                <c:formatCode>General</c:formatCode>
                <c:ptCount val="12"/>
                <c:pt idx="0">
                  <c:v>227</c:v>
                </c:pt>
                <c:pt idx="1">
                  <c:v>156</c:v>
                </c:pt>
                <c:pt idx="2">
                  <c:v>109</c:v>
                </c:pt>
                <c:pt idx="3">
                  <c:v>84</c:v>
                </c:pt>
                <c:pt idx="4">
                  <c:v>63</c:v>
                </c:pt>
                <c:pt idx="5">
                  <c:v>62</c:v>
                </c:pt>
                <c:pt idx="6">
                  <c:v>63</c:v>
                </c:pt>
                <c:pt idx="7">
                  <c:v>65</c:v>
                </c:pt>
                <c:pt idx="8">
                  <c:v>84</c:v>
                </c:pt>
                <c:pt idx="9">
                  <c:v>107</c:v>
                </c:pt>
                <c:pt idx="10">
                  <c:v>155</c:v>
                </c:pt>
                <c:pt idx="11">
                  <c:v>228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F38-42C6-9D17-C0CD2AAB4A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1882288"/>
        <c:axId val="411874608"/>
      </c:scatterChart>
      <c:valAx>
        <c:axId val="411882288"/>
        <c:scaling>
          <c:orientation val="minMax"/>
          <c:max val="12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month</a:t>
                </a:r>
              </a:p>
            </c:rich>
          </c:tx>
          <c:layout>
            <c:manualLayout>
              <c:xMode val="edge"/>
              <c:yMode val="edge"/>
              <c:x val="0.87351946631671029"/>
              <c:y val="0.8694211140274132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11874608"/>
        <c:crosses val="autoZero"/>
        <c:crossBetween val="midCat"/>
        <c:majorUnit val="1"/>
      </c:valAx>
      <c:valAx>
        <c:axId val="411874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hours to fully charge</a:t>
                </a:r>
              </a:p>
            </c:rich>
          </c:tx>
          <c:layout>
            <c:manualLayout>
              <c:xMode val="edge"/>
              <c:yMode val="edge"/>
              <c:x val="2.2222222222222223E-2"/>
              <c:y val="0.1512886410032078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118822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Times for each iteration in MCTS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Tabelle1!$W$100:$W$119</c:f>
              <c:numCache>
                <c:formatCode>General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</c:numCache>
            </c:numRef>
          </c:xVal>
          <c:yVal>
            <c:numRef>
              <c:f>Tabelle1!$X$100:$X$119</c:f>
              <c:numCache>
                <c:formatCode>General</c:formatCode>
                <c:ptCount val="20"/>
                <c:pt idx="0">
                  <c:v>381</c:v>
                </c:pt>
                <c:pt idx="1">
                  <c:v>370</c:v>
                </c:pt>
                <c:pt idx="2">
                  <c:v>369</c:v>
                </c:pt>
                <c:pt idx="3">
                  <c:v>448</c:v>
                </c:pt>
                <c:pt idx="4">
                  <c:v>403</c:v>
                </c:pt>
                <c:pt idx="5">
                  <c:v>126</c:v>
                </c:pt>
                <c:pt idx="6">
                  <c:v>514</c:v>
                </c:pt>
                <c:pt idx="7">
                  <c:v>516</c:v>
                </c:pt>
                <c:pt idx="8">
                  <c:v>722</c:v>
                </c:pt>
                <c:pt idx="9">
                  <c:v>248</c:v>
                </c:pt>
                <c:pt idx="10">
                  <c:v>134</c:v>
                </c:pt>
                <c:pt idx="11">
                  <c:v>678</c:v>
                </c:pt>
                <c:pt idx="12">
                  <c:v>199</c:v>
                </c:pt>
                <c:pt idx="13">
                  <c:v>616</c:v>
                </c:pt>
                <c:pt idx="14">
                  <c:v>345</c:v>
                </c:pt>
                <c:pt idx="15">
                  <c:v>240</c:v>
                </c:pt>
                <c:pt idx="16">
                  <c:v>212</c:v>
                </c:pt>
                <c:pt idx="17">
                  <c:v>530</c:v>
                </c:pt>
                <c:pt idx="18">
                  <c:v>518</c:v>
                </c:pt>
                <c:pt idx="19">
                  <c:v>286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E6D-47C4-BD9B-D532B6567B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1892368"/>
        <c:axId val="411873168"/>
      </c:scatterChart>
      <c:valAx>
        <c:axId val="4118923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Iteration</a:t>
                </a:r>
              </a:p>
            </c:rich>
          </c:tx>
          <c:layout>
            <c:manualLayout>
              <c:xMode val="edge"/>
              <c:yMode val="edge"/>
              <c:x val="0.86304046369203846"/>
              <c:y val="0.8786803732866724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11873168"/>
        <c:crosses val="autoZero"/>
        <c:crossBetween val="midCat"/>
      </c:valAx>
      <c:valAx>
        <c:axId val="411873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time in </a:t>
                </a:r>
                <a:r>
                  <a:rPr lang="el-GR" sz="1000" b="0" i="0" u="none" strike="noStrike" baseline="0">
                    <a:effectLst/>
                  </a:rPr>
                  <a:t>μ</a:t>
                </a:r>
                <a:r>
                  <a:rPr lang="de-DE" sz="1000" b="0" i="0" u="none" strike="noStrike" baseline="0">
                    <a:effectLst/>
                  </a:rPr>
                  <a:t>s</a:t>
                </a:r>
                <a:endParaRPr lang="de-DE" b="0"/>
              </a:p>
            </c:rich>
          </c:tx>
          <c:layout>
            <c:manualLayout>
              <c:xMode val="edge"/>
              <c:yMode val="edge"/>
              <c:x val="2.5000000000000001E-2"/>
              <c:y val="0.1378740157480314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118923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Tabelle1!$K$106</c:f>
              <c:strCache>
                <c:ptCount val="1"/>
                <c:pt idx="0">
                  <c:v>MCTS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Tabelle1!$J$107:$J$111</c:f>
              <c:numCache>
                <c:formatCode>General</c:formatCode>
                <c:ptCount val="5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</c:numCache>
            </c:numRef>
          </c:cat>
          <c:val>
            <c:numRef>
              <c:f>Tabelle1!$K$107:$K$111</c:f>
              <c:numCache>
                <c:formatCode>General</c:formatCode>
                <c:ptCount val="5"/>
                <c:pt idx="0">
                  <c:v>1377</c:v>
                </c:pt>
                <c:pt idx="1">
                  <c:v>1498</c:v>
                </c:pt>
                <c:pt idx="2">
                  <c:v>3171</c:v>
                </c:pt>
                <c:pt idx="3">
                  <c:v>3526</c:v>
                </c:pt>
                <c:pt idx="4">
                  <c:v>4385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D33-4CFA-867D-153574D478CC}"/>
            </c:ext>
          </c:extLst>
        </c:ser>
        <c:ser>
          <c:idx val="1"/>
          <c:order val="1"/>
          <c:tx>
            <c:strRef>
              <c:f>Tabelle1!$L$106</c:f>
              <c:strCache>
                <c:ptCount val="1"/>
                <c:pt idx="0">
                  <c:v>DP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Tabelle1!$J$107:$J$111</c:f>
              <c:numCache>
                <c:formatCode>General</c:formatCode>
                <c:ptCount val="5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</c:numCache>
            </c:numRef>
          </c:cat>
          <c:val>
            <c:numRef>
              <c:f>Tabelle1!$L$107:$L$111</c:f>
              <c:numCache>
                <c:formatCode>General</c:formatCode>
                <c:ptCount val="5"/>
                <c:pt idx="0">
                  <c:v>1825</c:v>
                </c:pt>
                <c:pt idx="1">
                  <c:v>2921</c:v>
                </c:pt>
                <c:pt idx="2">
                  <c:v>4044</c:v>
                </c:pt>
                <c:pt idx="3">
                  <c:v>5061</c:v>
                </c:pt>
                <c:pt idx="4">
                  <c:v>6027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D33-4CFA-867D-153574D478CC}"/>
            </c:ext>
          </c:extLst>
        </c:ser>
        <c:ser>
          <c:idx val="2"/>
          <c:order val="2"/>
          <c:tx>
            <c:strRef>
              <c:f>Tabelle1!$M$106</c:f>
              <c:strCache>
                <c:ptCount val="1"/>
                <c:pt idx="0">
                  <c:v>Beam Search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Tabelle1!$J$107:$J$111</c:f>
              <c:numCache>
                <c:formatCode>General</c:formatCode>
                <c:ptCount val="5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</c:numCache>
            </c:numRef>
          </c:cat>
          <c:val>
            <c:numRef>
              <c:f>Tabelle1!$M$107:$M$111</c:f>
              <c:numCache>
                <c:formatCode>General</c:formatCode>
                <c:ptCount val="5"/>
                <c:pt idx="0">
                  <c:v>940</c:v>
                </c:pt>
                <c:pt idx="1">
                  <c:v>1592</c:v>
                </c:pt>
                <c:pt idx="2">
                  <c:v>1954</c:v>
                </c:pt>
                <c:pt idx="3">
                  <c:v>1688</c:v>
                </c:pt>
                <c:pt idx="4">
                  <c:v>3474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D33-4CFA-867D-153574D478CC}"/>
            </c:ext>
          </c:extLst>
        </c:ser>
        <c:ser>
          <c:idx val="3"/>
          <c:order val="3"/>
          <c:tx>
            <c:strRef>
              <c:f>Tabelle1!$N$106</c:f>
              <c:strCache>
                <c:ptCount val="1"/>
                <c:pt idx="0">
                  <c:v>Up/Down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Tabelle1!$J$107:$J$111</c:f>
              <c:numCache>
                <c:formatCode>General</c:formatCode>
                <c:ptCount val="5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</c:numCache>
            </c:numRef>
          </c:cat>
          <c:val>
            <c:numRef>
              <c:f>Tabelle1!$N$107:$N$111</c:f>
              <c:numCache>
                <c:formatCode>General</c:formatCode>
                <c:ptCount val="5"/>
                <c:pt idx="0">
                  <c:v>570</c:v>
                </c:pt>
                <c:pt idx="1">
                  <c:v>863</c:v>
                </c:pt>
                <c:pt idx="2">
                  <c:v>1470</c:v>
                </c:pt>
                <c:pt idx="3">
                  <c:v>2303</c:v>
                </c:pt>
                <c:pt idx="4">
                  <c:v>3199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D33-4CFA-867D-153574D478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11054864"/>
        <c:axId val="1811065904"/>
      </c:lineChart>
      <c:catAx>
        <c:axId val="18110548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811065904"/>
        <c:crosses val="autoZero"/>
        <c:auto val="1"/>
        <c:lblAlgn val="ctr"/>
        <c:lblOffset val="100"/>
        <c:noMultiLvlLbl val="0"/>
      </c:catAx>
      <c:valAx>
        <c:axId val="1811065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8110548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533400</xdr:colOff>
      <xdr:row>14</xdr:row>
      <xdr:rowOff>85725</xdr:rowOff>
    </xdr:from>
    <xdr:to>
      <xdr:col>14</xdr:col>
      <xdr:colOff>533400</xdr:colOff>
      <xdr:row>28</xdr:row>
      <xdr:rowOff>161925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BCBAAD37-0D31-615B-2CC4-D3CDF2AD1C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309562</xdr:colOff>
      <xdr:row>31</xdr:row>
      <xdr:rowOff>114300</xdr:rowOff>
    </xdr:from>
    <xdr:to>
      <xdr:col>14</xdr:col>
      <xdr:colOff>309562</xdr:colOff>
      <xdr:row>46</xdr:row>
      <xdr:rowOff>0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C5F56059-7DA8-1BD1-7C51-E3E08771B7C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300037</xdr:colOff>
      <xdr:row>47</xdr:row>
      <xdr:rowOff>38100</xdr:rowOff>
    </xdr:from>
    <xdr:to>
      <xdr:col>14</xdr:col>
      <xdr:colOff>300037</xdr:colOff>
      <xdr:row>61</xdr:row>
      <xdr:rowOff>114300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0DC4F0BF-2CA1-7554-A277-8272EB86B5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9525</xdr:colOff>
      <xdr:row>56</xdr:row>
      <xdr:rowOff>180975</xdr:rowOff>
    </xdr:from>
    <xdr:to>
      <xdr:col>8</xdr:col>
      <xdr:colOff>9525</xdr:colOff>
      <xdr:row>71</xdr:row>
      <xdr:rowOff>66675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E13F9BDE-1E02-2031-DCC4-2543AE7681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700087</xdr:colOff>
      <xdr:row>74</xdr:row>
      <xdr:rowOff>85725</xdr:rowOff>
    </xdr:from>
    <xdr:to>
      <xdr:col>12</xdr:col>
      <xdr:colOff>700087</xdr:colOff>
      <xdr:row>88</xdr:row>
      <xdr:rowOff>161925</xdr:rowOff>
    </xdr:to>
    <xdr:graphicFrame macro="">
      <xdr:nvGraphicFramePr>
        <xdr:cNvPr id="6" name="Diagramm 5">
          <a:extLst>
            <a:ext uri="{FF2B5EF4-FFF2-40B4-BE49-F238E27FC236}">
              <a16:creationId xmlns:a16="http://schemas.microsoft.com/office/drawing/2014/main" id="{443413F9-AAB6-4430-F44F-985A986651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13</xdr:col>
      <xdr:colOff>748393</xdr:colOff>
      <xdr:row>84</xdr:row>
      <xdr:rowOff>61232</xdr:rowOff>
    </xdr:from>
    <xdr:to>
      <xdr:col>20</xdr:col>
      <xdr:colOff>405493</xdr:colOff>
      <xdr:row>101</xdr:row>
      <xdr:rowOff>4082</xdr:rowOff>
    </xdr:to>
    <xdr:graphicFrame macro="">
      <xdr:nvGraphicFramePr>
        <xdr:cNvPr id="7" name="Diagramm 6">
          <a:extLst>
            <a:ext uri="{FF2B5EF4-FFF2-40B4-BE49-F238E27FC236}">
              <a16:creationId xmlns:a16="http://schemas.microsoft.com/office/drawing/2014/main" id="{33832A5B-39DE-EB22-BDAC-5DEC8F55CD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11</xdr:col>
      <xdr:colOff>0</xdr:colOff>
      <xdr:row>136</xdr:row>
      <xdr:rowOff>123825</xdr:rowOff>
    </xdr:from>
    <xdr:to>
      <xdr:col>17</xdr:col>
      <xdr:colOff>0</xdr:colOff>
      <xdr:row>151</xdr:row>
      <xdr:rowOff>9525</xdr:rowOff>
    </xdr:to>
    <xdr:graphicFrame macro="">
      <xdr:nvGraphicFramePr>
        <xdr:cNvPr id="8" name="Diagramm 7">
          <a:extLst>
            <a:ext uri="{FF2B5EF4-FFF2-40B4-BE49-F238E27FC236}">
              <a16:creationId xmlns:a16="http://schemas.microsoft.com/office/drawing/2014/main" id="{E886230E-7B16-D38B-27C6-D439F98B58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11</xdr:col>
      <xdr:colOff>14287</xdr:colOff>
      <xdr:row>154</xdr:row>
      <xdr:rowOff>9525</xdr:rowOff>
    </xdr:from>
    <xdr:to>
      <xdr:col>17</xdr:col>
      <xdr:colOff>14287</xdr:colOff>
      <xdr:row>168</xdr:row>
      <xdr:rowOff>85725</xdr:rowOff>
    </xdr:to>
    <xdr:graphicFrame macro="">
      <xdr:nvGraphicFramePr>
        <xdr:cNvPr id="9" name="Diagramm 8">
          <a:extLst>
            <a:ext uri="{FF2B5EF4-FFF2-40B4-BE49-F238E27FC236}">
              <a16:creationId xmlns:a16="http://schemas.microsoft.com/office/drawing/2014/main" id="{5BD83D42-BA85-2539-A994-B4070EBCF0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</xdr:col>
      <xdr:colOff>710712</xdr:colOff>
      <xdr:row>202</xdr:row>
      <xdr:rowOff>190499</xdr:rowOff>
    </xdr:from>
    <xdr:to>
      <xdr:col>12</xdr:col>
      <xdr:colOff>757237</xdr:colOff>
      <xdr:row>228</xdr:row>
      <xdr:rowOff>58614</xdr:rowOff>
    </xdr:to>
    <xdr:graphicFrame macro="">
      <xdr:nvGraphicFramePr>
        <xdr:cNvPr id="11" name="Diagramm 10">
          <a:extLst>
            <a:ext uri="{FF2B5EF4-FFF2-40B4-BE49-F238E27FC236}">
              <a16:creationId xmlns:a16="http://schemas.microsoft.com/office/drawing/2014/main" id="{1E100E82-07A1-1A8B-EB20-73DD37C76F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7</xdr:col>
      <xdr:colOff>752474</xdr:colOff>
      <xdr:row>263</xdr:row>
      <xdr:rowOff>190499</xdr:rowOff>
    </xdr:from>
    <xdr:to>
      <xdr:col>19</xdr:col>
      <xdr:colOff>201705</xdr:colOff>
      <xdr:row>288</xdr:row>
      <xdr:rowOff>89646</xdr:rowOff>
    </xdr:to>
    <xdr:graphicFrame macro="">
      <xdr:nvGraphicFramePr>
        <xdr:cNvPr id="12" name="Diagramm 11">
          <a:extLst>
            <a:ext uri="{FF2B5EF4-FFF2-40B4-BE49-F238E27FC236}">
              <a16:creationId xmlns:a16="http://schemas.microsoft.com/office/drawing/2014/main" id="{814B283F-2BBB-8D86-13D5-910B992751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8</xdr:col>
      <xdr:colOff>16806</xdr:colOff>
      <xdr:row>294</xdr:row>
      <xdr:rowOff>6723</xdr:rowOff>
    </xdr:from>
    <xdr:to>
      <xdr:col>19</xdr:col>
      <xdr:colOff>145675</xdr:colOff>
      <xdr:row>320</xdr:row>
      <xdr:rowOff>67235</xdr:rowOff>
    </xdr:to>
    <xdr:graphicFrame macro="">
      <xdr:nvGraphicFramePr>
        <xdr:cNvPr id="14" name="Diagramm 13">
          <a:extLst>
            <a:ext uri="{FF2B5EF4-FFF2-40B4-BE49-F238E27FC236}">
              <a16:creationId xmlns:a16="http://schemas.microsoft.com/office/drawing/2014/main" id="{58AF7CED-7578-226C-FA2C-50A270DBA3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12</xdr:col>
      <xdr:colOff>16808</xdr:colOff>
      <xdr:row>328</xdr:row>
      <xdr:rowOff>29135</xdr:rowOff>
    </xdr:from>
    <xdr:to>
      <xdr:col>18</xdr:col>
      <xdr:colOff>16808</xdr:colOff>
      <xdr:row>342</xdr:row>
      <xdr:rowOff>105335</xdr:rowOff>
    </xdr:to>
    <xdr:graphicFrame macro="">
      <xdr:nvGraphicFramePr>
        <xdr:cNvPr id="15" name="Diagramm 14">
          <a:extLst>
            <a:ext uri="{FF2B5EF4-FFF2-40B4-BE49-F238E27FC236}">
              <a16:creationId xmlns:a16="http://schemas.microsoft.com/office/drawing/2014/main" id="{AAB37E1B-F2F9-D67C-6AAB-E2CB3463B06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12</xdr:col>
      <xdr:colOff>755196</xdr:colOff>
      <xdr:row>366</xdr:row>
      <xdr:rowOff>104775</xdr:rowOff>
    </xdr:from>
    <xdr:to>
      <xdr:col>18</xdr:col>
      <xdr:colOff>755196</xdr:colOff>
      <xdr:row>380</xdr:row>
      <xdr:rowOff>180975</xdr:rowOff>
    </xdr:to>
    <xdr:graphicFrame macro="">
      <xdr:nvGraphicFramePr>
        <xdr:cNvPr id="16" name="Diagramm 15">
          <a:extLst>
            <a:ext uri="{FF2B5EF4-FFF2-40B4-BE49-F238E27FC236}">
              <a16:creationId xmlns:a16="http://schemas.microsoft.com/office/drawing/2014/main" id="{9503F5F6-49BE-6186-2A13-53A0BA2E2E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26</xdr:col>
      <xdr:colOff>265338</xdr:colOff>
      <xdr:row>99</xdr:row>
      <xdr:rowOff>118381</xdr:rowOff>
    </xdr:from>
    <xdr:to>
      <xdr:col>32</xdr:col>
      <xdr:colOff>265338</xdr:colOff>
      <xdr:row>114</xdr:row>
      <xdr:rowOff>4081</xdr:rowOff>
    </xdr:to>
    <xdr:graphicFrame macro="">
      <xdr:nvGraphicFramePr>
        <xdr:cNvPr id="17" name="Diagramm 16">
          <a:extLst>
            <a:ext uri="{FF2B5EF4-FFF2-40B4-BE49-F238E27FC236}">
              <a16:creationId xmlns:a16="http://schemas.microsoft.com/office/drawing/2014/main" id="{6847074A-9FCE-16F0-C0FB-BBF0CBB5586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11</xdr:col>
      <xdr:colOff>561975</xdr:colOff>
      <xdr:row>120</xdr:row>
      <xdr:rowOff>104775</xdr:rowOff>
    </xdr:from>
    <xdr:to>
      <xdr:col>17</xdr:col>
      <xdr:colOff>561975</xdr:colOff>
      <xdr:row>134</xdr:row>
      <xdr:rowOff>180975</xdr:rowOff>
    </xdr:to>
    <xdr:graphicFrame macro="">
      <xdr:nvGraphicFramePr>
        <xdr:cNvPr id="10" name="Diagramm 9">
          <a:extLst>
            <a:ext uri="{FF2B5EF4-FFF2-40B4-BE49-F238E27FC236}">
              <a16:creationId xmlns:a16="http://schemas.microsoft.com/office/drawing/2014/main" id="{A1DCDB3C-1AF9-FF0B-D0D2-C84BA0343F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re.jrc.ec.europa.eu/pvg_tool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30CC4-941E-45DF-A2A6-C299D6C60E13}">
  <dimension ref="B2:BO418"/>
  <sheetViews>
    <sheetView tabSelected="1" topLeftCell="AD77" zoomScale="85" zoomScaleNormal="85" workbookViewId="0">
      <selection activeCell="AO124" sqref="AO124"/>
    </sheetView>
  </sheetViews>
  <sheetFormatPr baseColWidth="10" defaultRowHeight="15"/>
  <sheetData>
    <row r="2" spans="2:6">
      <c r="B2">
        <v>10</v>
      </c>
      <c r="C2" s="1">
        <v>14.28</v>
      </c>
      <c r="D2">
        <v>96</v>
      </c>
    </row>
    <row r="3" spans="2:6">
      <c r="B3">
        <v>20</v>
      </c>
      <c r="C3" s="1">
        <v>29.78</v>
      </c>
      <c r="D3">
        <v>96</v>
      </c>
      <c r="E3" s="1" t="s">
        <v>0</v>
      </c>
      <c r="F3">
        <v>14.2</v>
      </c>
    </row>
    <row r="4" spans="2:6">
      <c r="B4">
        <v>30</v>
      </c>
      <c r="C4" s="1">
        <v>55.95</v>
      </c>
      <c r="D4">
        <v>96</v>
      </c>
      <c r="E4" s="1" t="s">
        <v>1</v>
      </c>
    </row>
    <row r="5" spans="2:6">
      <c r="B5">
        <v>40</v>
      </c>
      <c r="C5" s="1">
        <v>76.739999999999995</v>
      </c>
      <c r="D5">
        <v>96</v>
      </c>
      <c r="E5" s="1" t="s">
        <v>2</v>
      </c>
    </row>
    <row r="6" spans="2:6">
      <c r="B6">
        <v>50</v>
      </c>
      <c r="C6" s="1">
        <v>82.2</v>
      </c>
      <c r="D6">
        <v>96</v>
      </c>
      <c r="E6" s="1" t="s">
        <v>3</v>
      </c>
    </row>
    <row r="7" spans="2:6">
      <c r="B7">
        <v>60</v>
      </c>
      <c r="C7" s="1">
        <v>86.65</v>
      </c>
      <c r="D7">
        <v>96</v>
      </c>
      <c r="E7" s="1" t="s">
        <v>20</v>
      </c>
    </row>
    <row r="8" spans="2:6">
      <c r="B8">
        <v>70</v>
      </c>
      <c r="C8" s="1">
        <v>89.28</v>
      </c>
      <c r="D8">
        <v>96</v>
      </c>
      <c r="E8" s="1" t="s">
        <v>4</v>
      </c>
    </row>
    <row r="9" spans="2:6">
      <c r="B9">
        <v>80</v>
      </c>
      <c r="C9" s="1">
        <v>89.94</v>
      </c>
      <c r="D9">
        <v>96</v>
      </c>
      <c r="E9" s="1" t="s">
        <v>5</v>
      </c>
    </row>
    <row r="10" spans="2:6">
      <c r="B10">
        <v>90</v>
      </c>
      <c r="C10" s="1">
        <v>90.41</v>
      </c>
      <c r="D10">
        <v>96</v>
      </c>
      <c r="E10" s="1" t="s">
        <v>6</v>
      </c>
    </row>
    <row r="11" spans="2:6">
      <c r="B11">
        <v>100</v>
      </c>
      <c r="C11" s="1">
        <v>90.53</v>
      </c>
      <c r="D11">
        <v>96</v>
      </c>
      <c r="E11" s="1" t="s">
        <v>7</v>
      </c>
    </row>
    <row r="12" spans="2:6">
      <c r="B12">
        <v>110</v>
      </c>
      <c r="C12" s="1">
        <v>91.04</v>
      </c>
      <c r="D12">
        <v>96</v>
      </c>
      <c r="E12" s="1" t="s">
        <v>8</v>
      </c>
    </row>
    <row r="13" spans="2:6">
      <c r="B13">
        <v>120</v>
      </c>
      <c r="C13" s="1">
        <v>91.26</v>
      </c>
      <c r="D13">
        <v>96</v>
      </c>
      <c r="E13" s="1" t="s">
        <v>9</v>
      </c>
    </row>
    <row r="14" spans="2:6">
      <c r="B14">
        <v>130</v>
      </c>
      <c r="C14" s="1">
        <v>91.71</v>
      </c>
      <c r="D14">
        <v>96</v>
      </c>
      <c r="E14" s="1" t="s">
        <v>10</v>
      </c>
    </row>
    <row r="15" spans="2:6">
      <c r="B15">
        <v>140</v>
      </c>
      <c r="C15" s="1">
        <v>91.69</v>
      </c>
      <c r="D15">
        <v>96</v>
      </c>
      <c r="E15" s="1" t="s">
        <v>11</v>
      </c>
    </row>
    <row r="16" spans="2:6">
      <c r="B16">
        <v>150</v>
      </c>
      <c r="C16" s="1">
        <v>91.79</v>
      </c>
      <c r="D16">
        <v>96</v>
      </c>
      <c r="E16" s="1" t="s">
        <v>12</v>
      </c>
    </row>
    <row r="17" spans="2:5">
      <c r="B17">
        <v>160</v>
      </c>
      <c r="C17" s="1">
        <v>92.13</v>
      </c>
      <c r="D17">
        <v>96</v>
      </c>
      <c r="E17" s="1" t="s">
        <v>13</v>
      </c>
    </row>
    <row r="18" spans="2:5">
      <c r="B18">
        <v>170</v>
      </c>
      <c r="C18" s="1">
        <v>92.13</v>
      </c>
      <c r="D18">
        <v>96</v>
      </c>
      <c r="E18" s="1" t="s">
        <v>14</v>
      </c>
    </row>
    <row r="19" spans="2:5">
      <c r="B19">
        <v>180</v>
      </c>
      <c r="C19" s="1">
        <v>91.95</v>
      </c>
      <c r="D19">
        <v>96</v>
      </c>
      <c r="E19" s="1" t="s">
        <v>14</v>
      </c>
    </row>
    <row r="20" spans="2:5">
      <c r="B20">
        <v>190</v>
      </c>
      <c r="C20" s="1">
        <v>92.1</v>
      </c>
      <c r="D20">
        <v>96</v>
      </c>
      <c r="E20" s="1" t="s">
        <v>15</v>
      </c>
    </row>
    <row r="21" spans="2:5">
      <c r="B21">
        <v>200</v>
      </c>
      <c r="C21" s="1">
        <v>92.21</v>
      </c>
      <c r="D21">
        <v>96</v>
      </c>
      <c r="E21" s="1" t="s">
        <v>21</v>
      </c>
    </row>
    <row r="22" spans="2:5">
      <c r="B22">
        <v>210</v>
      </c>
      <c r="C22" s="1">
        <v>92.27</v>
      </c>
      <c r="D22">
        <v>96</v>
      </c>
      <c r="E22" s="1" t="s">
        <v>16</v>
      </c>
    </row>
    <row r="23" spans="2:5">
      <c r="B23">
        <v>220</v>
      </c>
      <c r="C23" s="1">
        <v>92.07</v>
      </c>
      <c r="D23">
        <v>96</v>
      </c>
      <c r="E23" s="1" t="s">
        <v>17</v>
      </c>
    </row>
    <row r="24" spans="2:5">
      <c r="B24">
        <v>230</v>
      </c>
      <c r="C24" s="1">
        <v>92.13</v>
      </c>
      <c r="D24">
        <v>96</v>
      </c>
      <c r="E24" s="1" t="s">
        <v>18</v>
      </c>
    </row>
    <row r="25" spans="2:5">
      <c r="B25">
        <v>240</v>
      </c>
      <c r="C25" s="1">
        <v>92.6</v>
      </c>
      <c r="D25">
        <v>96</v>
      </c>
      <c r="E25" s="1" t="s">
        <v>14</v>
      </c>
    </row>
    <row r="26" spans="2:5">
      <c r="B26">
        <v>250</v>
      </c>
      <c r="C26" s="1">
        <v>92.15</v>
      </c>
      <c r="D26">
        <v>96</v>
      </c>
      <c r="E26" s="1" t="s">
        <v>22</v>
      </c>
    </row>
    <row r="27" spans="2:5">
      <c r="E27" s="1" t="s">
        <v>19</v>
      </c>
    </row>
    <row r="33" spans="2:6">
      <c r="C33">
        <v>1</v>
      </c>
    </row>
    <row r="37" spans="2:6">
      <c r="B37">
        <v>20</v>
      </c>
      <c r="C37">
        <v>12.66</v>
      </c>
      <c r="E37">
        <v>20</v>
      </c>
      <c r="F37">
        <v>0.94</v>
      </c>
    </row>
    <row r="38" spans="2:6">
      <c r="B38">
        <v>30</v>
      </c>
      <c r="C38">
        <v>31.37</v>
      </c>
      <c r="E38">
        <v>30</v>
      </c>
      <c r="F38">
        <v>0.86</v>
      </c>
    </row>
    <row r="39" spans="2:6">
      <c r="B39">
        <v>40</v>
      </c>
      <c r="C39">
        <v>45.88</v>
      </c>
      <c r="E39">
        <v>40</v>
      </c>
      <c r="F39">
        <v>2.29</v>
      </c>
    </row>
    <row r="40" spans="2:6">
      <c r="B40">
        <v>50</v>
      </c>
      <c r="C40">
        <v>119.33</v>
      </c>
      <c r="E40">
        <v>50</v>
      </c>
      <c r="F40">
        <v>2.0499999999999998</v>
      </c>
    </row>
    <row r="41" spans="2:6">
      <c r="B41">
        <v>60</v>
      </c>
      <c r="C41">
        <v>140.22</v>
      </c>
      <c r="E41">
        <v>60</v>
      </c>
      <c r="F41">
        <v>6.77</v>
      </c>
    </row>
    <row r="42" spans="2:6">
      <c r="B42">
        <v>70</v>
      </c>
      <c r="C42">
        <v>195.75</v>
      </c>
      <c r="E42">
        <v>70</v>
      </c>
      <c r="F42">
        <v>7.37</v>
      </c>
    </row>
    <row r="43" spans="2:6">
      <c r="B43">
        <v>80</v>
      </c>
      <c r="C43">
        <v>241.35</v>
      </c>
      <c r="E43">
        <v>80</v>
      </c>
      <c r="F43">
        <v>12.12</v>
      </c>
    </row>
    <row r="44" spans="2:6">
      <c r="B44">
        <v>90</v>
      </c>
      <c r="C44">
        <v>284.77999999999997</v>
      </c>
      <c r="E44">
        <v>90</v>
      </c>
      <c r="F44">
        <v>32.82</v>
      </c>
    </row>
    <row r="47" spans="2:6">
      <c r="B47">
        <v>20</v>
      </c>
      <c r="C47">
        <v>14.32</v>
      </c>
    </row>
    <row r="48" spans="2:6">
      <c r="B48">
        <v>30</v>
      </c>
      <c r="C48">
        <v>28.53</v>
      </c>
    </row>
    <row r="49" spans="2:3">
      <c r="B49">
        <v>40</v>
      </c>
      <c r="C49">
        <v>35.56</v>
      </c>
    </row>
    <row r="50" spans="2:3">
      <c r="B50">
        <v>50</v>
      </c>
      <c r="C50">
        <v>45.85</v>
      </c>
    </row>
    <row r="51" spans="2:3">
      <c r="B51">
        <v>60</v>
      </c>
      <c r="C51">
        <v>56.96</v>
      </c>
    </row>
    <row r="52" spans="2:3">
      <c r="B52">
        <v>70</v>
      </c>
      <c r="C52">
        <v>76.13</v>
      </c>
    </row>
    <row r="53" spans="2:3">
      <c r="B53">
        <v>80</v>
      </c>
      <c r="C53">
        <v>96.77</v>
      </c>
    </row>
    <row r="54" spans="2:3">
      <c r="B54">
        <v>90</v>
      </c>
      <c r="C54">
        <v>112.83</v>
      </c>
    </row>
    <row r="81" spans="5:41">
      <c r="E81">
        <v>20</v>
      </c>
      <c r="F81">
        <v>2.41</v>
      </c>
    </row>
    <row r="82" spans="5:41">
      <c r="E82">
        <v>30</v>
      </c>
      <c r="F82">
        <v>0.35</v>
      </c>
    </row>
    <row r="83" spans="5:41">
      <c r="E83">
        <v>40</v>
      </c>
      <c r="F83">
        <v>0.25</v>
      </c>
    </row>
    <row r="84" spans="5:41">
      <c r="E84">
        <v>50</v>
      </c>
      <c r="F84">
        <v>0.36</v>
      </c>
    </row>
    <row r="85" spans="5:41">
      <c r="E85">
        <v>60</v>
      </c>
      <c r="F85">
        <v>0.1</v>
      </c>
    </row>
    <row r="86" spans="5:41">
      <c r="E86">
        <v>70</v>
      </c>
      <c r="F86">
        <v>0.17</v>
      </c>
    </row>
    <row r="87" spans="5:41">
      <c r="E87">
        <v>80</v>
      </c>
      <c r="F87">
        <v>0.16</v>
      </c>
    </row>
    <row r="88" spans="5:41">
      <c r="E88">
        <v>90</v>
      </c>
      <c r="F88">
        <v>0.14000000000000001</v>
      </c>
    </row>
    <row r="89" spans="5:41">
      <c r="E89">
        <v>100</v>
      </c>
      <c r="F89">
        <v>0.18</v>
      </c>
    </row>
    <row r="90" spans="5:41">
      <c r="E90">
        <v>110</v>
      </c>
      <c r="F90">
        <v>0.12</v>
      </c>
    </row>
    <row r="91" spans="5:41">
      <c r="E91">
        <v>120</v>
      </c>
      <c r="F91">
        <v>0.14000000000000001</v>
      </c>
    </row>
    <row r="92" spans="5:41">
      <c r="E92">
        <v>130</v>
      </c>
      <c r="F92">
        <v>0.13</v>
      </c>
    </row>
    <row r="93" spans="5:41">
      <c r="E93">
        <v>140</v>
      </c>
      <c r="F93">
        <v>0.12</v>
      </c>
      <c r="AI93" t="s">
        <v>132</v>
      </c>
    </row>
    <row r="94" spans="5:41">
      <c r="E94">
        <v>150</v>
      </c>
      <c r="F94">
        <v>0.13</v>
      </c>
      <c r="AI94" t="s">
        <v>133</v>
      </c>
    </row>
    <row r="95" spans="5:41">
      <c r="E95">
        <v>160</v>
      </c>
      <c r="F95">
        <v>0.13</v>
      </c>
      <c r="AI95" t="s">
        <v>131</v>
      </c>
      <c r="AJ95" t="s">
        <v>130</v>
      </c>
      <c r="AK95" t="s">
        <v>103</v>
      </c>
      <c r="AL95" t="s">
        <v>104</v>
      </c>
      <c r="AM95" t="s">
        <v>105</v>
      </c>
      <c r="AN95" t="s">
        <v>106</v>
      </c>
      <c r="AO95" t="s">
        <v>178</v>
      </c>
    </row>
    <row r="96" spans="5:41">
      <c r="E96">
        <v>170</v>
      </c>
      <c r="F96">
        <v>0.12</v>
      </c>
      <c r="AI96">
        <v>30</v>
      </c>
      <c r="AJ96">
        <v>10</v>
      </c>
      <c r="AK96" s="3">
        <v>1125</v>
      </c>
      <c r="AL96" s="3">
        <v>741</v>
      </c>
      <c r="AM96" s="3">
        <v>539</v>
      </c>
      <c r="AN96" s="3">
        <v>554</v>
      </c>
      <c r="AO96" s="3">
        <v>1264</v>
      </c>
    </row>
    <row r="97" spans="5:41">
      <c r="E97">
        <v>180</v>
      </c>
      <c r="F97">
        <v>0.14000000000000001</v>
      </c>
      <c r="AI97">
        <v>40</v>
      </c>
      <c r="AJ97">
        <v>15</v>
      </c>
      <c r="AK97" s="3">
        <v>2239</v>
      </c>
      <c r="AL97" s="3">
        <v>1503</v>
      </c>
      <c r="AM97" s="3">
        <v>1165</v>
      </c>
      <c r="AN97" s="3">
        <v>1270</v>
      </c>
      <c r="AO97" s="3">
        <v>2739</v>
      </c>
    </row>
    <row r="98" spans="5:41">
      <c r="E98">
        <v>190</v>
      </c>
      <c r="F98">
        <v>0.14000000000000001</v>
      </c>
      <c r="AI98">
        <v>50</v>
      </c>
      <c r="AJ98">
        <v>20</v>
      </c>
      <c r="AK98" s="3">
        <v>4028</v>
      </c>
      <c r="AL98" s="3">
        <v>2611</v>
      </c>
      <c r="AM98" s="3">
        <v>1955</v>
      </c>
      <c r="AN98" s="3">
        <v>1508</v>
      </c>
      <c r="AO98" s="3">
        <v>5077</v>
      </c>
    </row>
    <row r="99" spans="5:41">
      <c r="W99" t="s">
        <v>100</v>
      </c>
      <c r="AI99">
        <v>60</v>
      </c>
      <c r="AJ99">
        <v>25</v>
      </c>
      <c r="AK99" s="3">
        <v>6166</v>
      </c>
      <c r="AL99" s="3">
        <v>3512</v>
      </c>
      <c r="AM99" s="3">
        <v>2251</v>
      </c>
      <c r="AN99" s="3">
        <v>2529</v>
      </c>
      <c r="AO99" s="3">
        <v>7917</v>
      </c>
    </row>
    <row r="100" spans="5:41">
      <c r="W100" s="3">
        <v>1</v>
      </c>
      <c r="X100">
        <v>381</v>
      </c>
      <c r="AI100">
        <v>70</v>
      </c>
      <c r="AJ100">
        <v>30</v>
      </c>
      <c r="AK100" s="3">
        <v>8394</v>
      </c>
      <c r="AL100" s="3">
        <v>5294</v>
      </c>
      <c r="AM100" s="3">
        <v>2888</v>
      </c>
      <c r="AN100" s="3">
        <v>3451</v>
      </c>
      <c r="AO100" s="3">
        <v>11562</v>
      </c>
    </row>
    <row r="101" spans="5:41">
      <c r="W101" s="3">
        <v>2</v>
      </c>
      <c r="X101">
        <v>370</v>
      </c>
      <c r="AI101">
        <v>80</v>
      </c>
      <c r="AJ101">
        <v>35</v>
      </c>
      <c r="AK101" s="3">
        <v>11305</v>
      </c>
      <c r="AL101" s="3">
        <v>6417</v>
      </c>
      <c r="AM101" s="3">
        <v>3901</v>
      </c>
      <c r="AN101" s="3">
        <v>3729</v>
      </c>
      <c r="AO101" s="3">
        <v>16134</v>
      </c>
    </row>
    <row r="102" spans="5:41">
      <c r="W102" s="3">
        <v>3</v>
      </c>
      <c r="X102">
        <v>369</v>
      </c>
      <c r="AI102">
        <v>90</v>
      </c>
      <c r="AJ102">
        <v>40</v>
      </c>
      <c r="AK102" s="3">
        <v>15175</v>
      </c>
      <c r="AL102" s="3">
        <v>8582</v>
      </c>
      <c r="AM102" s="3">
        <v>5298</v>
      </c>
      <c r="AN102" s="3">
        <v>5564</v>
      </c>
    </row>
    <row r="103" spans="5:41">
      <c r="K103" t="s">
        <v>115</v>
      </c>
      <c r="W103" s="3">
        <v>4</v>
      </c>
      <c r="X103">
        <v>448</v>
      </c>
      <c r="AI103">
        <v>100</v>
      </c>
      <c r="AJ103">
        <v>45</v>
      </c>
      <c r="AK103" s="3">
        <v>18886</v>
      </c>
      <c r="AL103" s="3">
        <v>10828</v>
      </c>
      <c r="AM103" s="3">
        <v>6317</v>
      </c>
      <c r="AN103" s="3">
        <v>7174</v>
      </c>
    </row>
    <row r="104" spans="5:41">
      <c r="K104" t="s">
        <v>114</v>
      </c>
      <c r="M104" t="s">
        <v>117</v>
      </c>
      <c r="W104" s="3">
        <v>5</v>
      </c>
      <c r="X104">
        <v>403</v>
      </c>
      <c r="AI104">
        <v>110</v>
      </c>
      <c r="AJ104">
        <v>50</v>
      </c>
      <c r="AK104" s="3">
        <v>21876</v>
      </c>
      <c r="AL104" s="3">
        <v>12946</v>
      </c>
      <c r="AM104" s="3">
        <v>8357</v>
      </c>
      <c r="AN104" s="3">
        <v>7603</v>
      </c>
    </row>
    <row r="105" spans="5:41">
      <c r="W105" s="3">
        <v>6</v>
      </c>
      <c r="X105">
        <v>126</v>
      </c>
      <c r="AI105">
        <v>120</v>
      </c>
      <c r="AJ105">
        <v>55</v>
      </c>
      <c r="AK105" s="3">
        <v>27367</v>
      </c>
      <c r="AL105" s="3">
        <v>16534</v>
      </c>
      <c r="AM105" s="3">
        <v>9788</v>
      </c>
      <c r="AN105" s="3">
        <v>9489</v>
      </c>
    </row>
    <row r="106" spans="5:41">
      <c r="K106" t="s">
        <v>104</v>
      </c>
      <c r="L106" t="s">
        <v>103</v>
      </c>
      <c r="M106" t="s">
        <v>105</v>
      </c>
      <c r="N106" t="s">
        <v>106</v>
      </c>
      <c r="O106" t="s">
        <v>176</v>
      </c>
      <c r="P106" t="s">
        <v>177</v>
      </c>
      <c r="W106" s="3">
        <v>7</v>
      </c>
      <c r="X106">
        <v>514</v>
      </c>
    </row>
    <row r="107" spans="5:41">
      <c r="F107">
        <v>12.02</v>
      </c>
      <c r="J107">
        <v>10</v>
      </c>
      <c r="K107" s="3">
        <v>1377</v>
      </c>
      <c r="L107" s="3">
        <v>1825</v>
      </c>
      <c r="M107" s="3">
        <v>940</v>
      </c>
      <c r="N107" s="3">
        <v>570</v>
      </c>
      <c r="O107" s="3">
        <v>4342</v>
      </c>
      <c r="P107" s="3">
        <v>2444</v>
      </c>
      <c r="W107" s="3">
        <v>8</v>
      </c>
      <c r="X107">
        <v>516</v>
      </c>
      <c r="AI107" t="s">
        <v>131</v>
      </c>
      <c r="AJ107" t="s">
        <v>130</v>
      </c>
      <c r="AK107" t="s">
        <v>103</v>
      </c>
      <c r="AL107" t="s">
        <v>104</v>
      </c>
      <c r="AM107" t="s">
        <v>105</v>
      </c>
      <c r="AN107" t="s">
        <v>106</v>
      </c>
    </row>
    <row r="108" spans="5:41">
      <c r="F108">
        <v>22.45</v>
      </c>
      <c r="I108" t="s">
        <v>119</v>
      </c>
      <c r="J108">
        <v>15</v>
      </c>
      <c r="K108" s="3">
        <v>1498</v>
      </c>
      <c r="L108" s="3">
        <v>2921</v>
      </c>
      <c r="M108" s="3">
        <v>1592</v>
      </c>
      <c r="N108" s="3">
        <v>863</v>
      </c>
      <c r="O108" s="3">
        <v>5956</v>
      </c>
      <c r="P108" s="3">
        <v>3797</v>
      </c>
      <c r="W108" s="3">
        <v>9</v>
      </c>
      <c r="X108">
        <v>722</v>
      </c>
      <c r="AI108">
        <v>30</v>
      </c>
      <c r="AJ108">
        <v>10</v>
      </c>
      <c r="AK108" s="3">
        <v>44</v>
      </c>
      <c r="AL108" s="3">
        <v>44</v>
      </c>
      <c r="AM108" s="3">
        <v>41</v>
      </c>
      <c r="AN108" s="3">
        <v>44</v>
      </c>
    </row>
    <row r="109" spans="5:41">
      <c r="F109">
        <v>33.94</v>
      </c>
      <c r="I109" t="s">
        <v>120</v>
      </c>
      <c r="J109">
        <v>20</v>
      </c>
      <c r="K109" s="3">
        <v>3171</v>
      </c>
      <c r="L109" s="3">
        <v>4044</v>
      </c>
      <c r="M109" s="3">
        <v>1954</v>
      </c>
      <c r="N109" s="3">
        <v>1470</v>
      </c>
      <c r="O109" s="3">
        <v>8573</v>
      </c>
      <c r="P109" s="3">
        <v>5068</v>
      </c>
      <c r="W109" s="3">
        <v>10</v>
      </c>
      <c r="X109">
        <v>248</v>
      </c>
      <c r="AI109">
        <v>40</v>
      </c>
      <c r="AJ109">
        <v>15</v>
      </c>
      <c r="AK109" s="3">
        <v>63</v>
      </c>
      <c r="AL109" s="3">
        <v>59</v>
      </c>
      <c r="AM109" s="3">
        <v>62</v>
      </c>
      <c r="AN109" s="3">
        <v>63</v>
      </c>
    </row>
    <row r="110" spans="5:41">
      <c r="F110">
        <v>40.83</v>
      </c>
      <c r="I110" t="s">
        <v>121</v>
      </c>
      <c r="J110">
        <v>25</v>
      </c>
      <c r="K110" s="3">
        <v>3526</v>
      </c>
      <c r="L110" s="3">
        <v>5061</v>
      </c>
      <c r="M110" s="3">
        <v>1688</v>
      </c>
      <c r="N110" s="3">
        <v>2303</v>
      </c>
      <c r="O110" s="3">
        <v>11376</v>
      </c>
      <c r="P110" s="3">
        <v>6110</v>
      </c>
      <c r="W110" s="3">
        <v>11</v>
      </c>
      <c r="X110">
        <v>134</v>
      </c>
      <c r="AI110">
        <v>50</v>
      </c>
      <c r="AJ110">
        <v>20</v>
      </c>
      <c r="AK110" s="3">
        <v>84</v>
      </c>
      <c r="AL110" s="3">
        <v>81</v>
      </c>
      <c r="AM110" s="3">
        <v>83</v>
      </c>
      <c r="AN110" s="3">
        <v>79</v>
      </c>
    </row>
    <row r="111" spans="5:41">
      <c r="F111">
        <v>55.32</v>
      </c>
      <c r="I111" t="s">
        <v>137</v>
      </c>
      <c r="J111">
        <v>30</v>
      </c>
      <c r="K111" s="3">
        <v>4385</v>
      </c>
      <c r="L111" s="3">
        <v>6027</v>
      </c>
      <c r="M111" s="3">
        <v>3474</v>
      </c>
      <c r="N111" s="3">
        <v>3199</v>
      </c>
      <c r="O111" s="3">
        <v>16727</v>
      </c>
      <c r="P111" s="3">
        <v>7161</v>
      </c>
      <c r="W111" s="3">
        <v>12</v>
      </c>
      <c r="X111">
        <v>678</v>
      </c>
      <c r="AI111">
        <v>60</v>
      </c>
      <c r="AJ111">
        <v>25</v>
      </c>
      <c r="AK111" s="3">
        <v>104</v>
      </c>
      <c r="AL111" s="3">
        <v>99</v>
      </c>
      <c r="AM111" s="3">
        <v>103</v>
      </c>
      <c r="AN111" s="3">
        <v>103</v>
      </c>
    </row>
    <row r="112" spans="5:41">
      <c r="F112">
        <v>78.569999999999993</v>
      </c>
      <c r="J112">
        <v>35</v>
      </c>
      <c r="K112" s="3">
        <v>5571</v>
      </c>
      <c r="L112" s="3">
        <v>7057</v>
      </c>
      <c r="W112" s="3">
        <v>13</v>
      </c>
      <c r="X112">
        <v>199</v>
      </c>
      <c r="AI112">
        <v>70</v>
      </c>
      <c r="AJ112">
        <v>30</v>
      </c>
      <c r="AK112" s="3">
        <v>124</v>
      </c>
      <c r="AL112" s="3">
        <v>121</v>
      </c>
      <c r="AM112" s="3">
        <v>123</v>
      </c>
      <c r="AN112" s="3">
        <v>123</v>
      </c>
    </row>
    <row r="113" spans="6:41">
      <c r="F113">
        <v>97.91</v>
      </c>
      <c r="J113">
        <v>40</v>
      </c>
      <c r="K113" s="3">
        <v>6322</v>
      </c>
      <c r="L113" s="3">
        <v>7827</v>
      </c>
      <c r="W113" s="3">
        <v>14</v>
      </c>
      <c r="X113">
        <v>616</v>
      </c>
      <c r="AI113">
        <v>80</v>
      </c>
      <c r="AJ113">
        <v>35</v>
      </c>
      <c r="AK113" s="3">
        <v>147</v>
      </c>
      <c r="AL113" s="3">
        <v>141</v>
      </c>
      <c r="AM113" s="3">
        <v>146</v>
      </c>
      <c r="AN113" s="3">
        <v>137</v>
      </c>
    </row>
    <row r="114" spans="6:41">
      <c r="F114">
        <v>116.27</v>
      </c>
      <c r="J114">
        <v>45</v>
      </c>
      <c r="K114" s="3">
        <v>7246</v>
      </c>
      <c r="L114" s="3">
        <v>8628</v>
      </c>
      <c r="W114" s="3">
        <v>15</v>
      </c>
      <c r="X114">
        <v>345</v>
      </c>
      <c r="AI114">
        <v>90</v>
      </c>
      <c r="AJ114">
        <v>40</v>
      </c>
      <c r="AK114" s="3">
        <v>168</v>
      </c>
      <c r="AL114" s="3">
        <v>156</v>
      </c>
      <c r="AM114" s="3">
        <v>168</v>
      </c>
      <c r="AN114" s="3">
        <v>167</v>
      </c>
    </row>
    <row r="115" spans="6:41">
      <c r="J115">
        <v>50</v>
      </c>
      <c r="K115" s="3">
        <v>8528</v>
      </c>
      <c r="L115" s="3">
        <v>9534</v>
      </c>
      <c r="W115" s="3">
        <v>16</v>
      </c>
      <c r="X115">
        <v>240</v>
      </c>
      <c r="AI115">
        <v>100</v>
      </c>
      <c r="AJ115">
        <v>45</v>
      </c>
      <c r="AK115" s="3">
        <v>189</v>
      </c>
      <c r="AL115" s="3">
        <v>179</v>
      </c>
      <c r="AM115" s="3">
        <v>189</v>
      </c>
      <c r="AN115" s="3">
        <v>188</v>
      </c>
    </row>
    <row r="116" spans="6:41">
      <c r="J116">
        <v>55</v>
      </c>
      <c r="K116" s="3">
        <v>9656</v>
      </c>
      <c r="L116" s="3">
        <v>10472</v>
      </c>
      <c r="W116" s="3">
        <v>17</v>
      </c>
      <c r="X116">
        <v>212</v>
      </c>
      <c r="AI116">
        <v>110</v>
      </c>
      <c r="AJ116">
        <v>50</v>
      </c>
      <c r="AK116" s="3">
        <v>197</v>
      </c>
      <c r="AL116" s="3">
        <v>187</v>
      </c>
      <c r="AM116" s="3">
        <v>197</v>
      </c>
      <c r="AN116" s="3">
        <v>196</v>
      </c>
    </row>
    <row r="117" spans="6:41">
      <c r="W117" s="3">
        <v>18</v>
      </c>
      <c r="X117">
        <v>530</v>
      </c>
      <c r="AI117">
        <v>120</v>
      </c>
      <c r="AJ117">
        <v>55</v>
      </c>
      <c r="AK117" s="3">
        <v>227</v>
      </c>
      <c r="AL117" s="3">
        <v>215</v>
      </c>
      <c r="AM117" s="3">
        <v>227</v>
      </c>
      <c r="AN117" s="3">
        <v>226</v>
      </c>
    </row>
    <row r="118" spans="6:41">
      <c r="J118">
        <v>100</v>
      </c>
      <c r="K118" s="3">
        <v>20471</v>
      </c>
      <c r="L118" s="3">
        <v>20216</v>
      </c>
      <c r="N118" s="3">
        <v>27389</v>
      </c>
      <c r="W118" s="3">
        <v>19</v>
      </c>
      <c r="X118">
        <v>518</v>
      </c>
      <c r="AI118" t="s">
        <v>131</v>
      </c>
      <c r="AJ118" t="s">
        <v>130</v>
      </c>
      <c r="AK118" t="s">
        <v>103</v>
      </c>
      <c r="AL118" t="s">
        <v>104</v>
      </c>
      <c r="AM118" t="s">
        <v>105</v>
      </c>
      <c r="AN118" t="s">
        <v>106</v>
      </c>
    </row>
    <row r="119" spans="6:41">
      <c r="W119" s="3">
        <v>20</v>
      </c>
      <c r="X119">
        <v>286</v>
      </c>
      <c r="AI119">
        <v>30</v>
      </c>
      <c r="AJ119">
        <v>10</v>
      </c>
      <c r="AK119" s="3">
        <v>598</v>
      </c>
      <c r="AL119" s="3">
        <v>1396</v>
      </c>
      <c r="AM119" s="3">
        <v>1248</v>
      </c>
      <c r="AN119" s="3">
        <v>10</v>
      </c>
      <c r="AO119" s="3">
        <v>7884</v>
      </c>
    </row>
    <row r="120" spans="6:41">
      <c r="AI120">
        <v>40</v>
      </c>
      <c r="AJ120">
        <v>15</v>
      </c>
      <c r="AK120" s="3">
        <v>1003</v>
      </c>
      <c r="AL120" s="3">
        <v>2991</v>
      </c>
      <c r="AM120" s="3">
        <v>2668</v>
      </c>
      <c r="AN120" s="3">
        <v>15</v>
      </c>
      <c r="AO120" s="3">
        <v>16084</v>
      </c>
    </row>
    <row r="121" spans="6:41">
      <c r="AI121">
        <v>50</v>
      </c>
      <c r="AJ121">
        <v>20</v>
      </c>
      <c r="AK121" s="3">
        <v>1508</v>
      </c>
      <c r="AL121" s="3">
        <v>5186</v>
      </c>
      <c r="AM121" s="3">
        <v>4554</v>
      </c>
      <c r="AN121" s="3">
        <v>20</v>
      </c>
      <c r="AO121" s="3">
        <v>28164</v>
      </c>
    </row>
    <row r="122" spans="6:41">
      <c r="AI122">
        <v>60</v>
      </c>
      <c r="AJ122">
        <v>25</v>
      </c>
      <c r="AK122" s="3">
        <v>2113</v>
      </c>
      <c r="AL122" s="3">
        <v>7981</v>
      </c>
      <c r="AM122" s="3">
        <v>6510</v>
      </c>
      <c r="AN122" s="3">
        <v>25</v>
      </c>
      <c r="AO122" s="3">
        <v>42744</v>
      </c>
    </row>
    <row r="123" spans="6:41">
      <c r="AI123">
        <v>70</v>
      </c>
      <c r="AJ123">
        <v>30</v>
      </c>
      <c r="AK123" s="3">
        <v>2818</v>
      </c>
      <c r="AL123" s="3">
        <v>11376</v>
      </c>
      <c r="AM123" s="3">
        <v>9016</v>
      </c>
      <c r="AN123" s="3">
        <v>30</v>
      </c>
      <c r="AO123" s="3">
        <v>61204</v>
      </c>
    </row>
    <row r="124" spans="6:41">
      <c r="AI124">
        <v>80</v>
      </c>
      <c r="AJ124">
        <v>35</v>
      </c>
      <c r="AK124" s="3">
        <v>3623</v>
      </c>
      <c r="AL124" s="3">
        <v>15371</v>
      </c>
      <c r="AM124" s="3">
        <v>12198</v>
      </c>
      <c r="AN124" s="3">
        <v>35</v>
      </c>
      <c r="AO124" s="3">
        <v>83784</v>
      </c>
    </row>
    <row r="125" spans="6:41">
      <c r="AI125">
        <v>90</v>
      </c>
      <c r="AJ125">
        <v>40</v>
      </c>
      <c r="AK125" s="3">
        <v>4528</v>
      </c>
      <c r="AL125" s="3">
        <v>19966</v>
      </c>
      <c r="AM125" s="3">
        <v>16926</v>
      </c>
      <c r="AN125" s="3">
        <v>40</v>
      </c>
    </row>
    <row r="126" spans="6:41">
      <c r="AI126">
        <v>100</v>
      </c>
      <c r="AJ126">
        <v>45</v>
      </c>
      <c r="AK126" s="3">
        <v>5533</v>
      </c>
      <c r="AL126" s="3">
        <v>25161</v>
      </c>
      <c r="AM126" s="3">
        <v>21100</v>
      </c>
      <c r="AN126" s="3">
        <v>45</v>
      </c>
    </row>
    <row r="127" spans="6:41">
      <c r="W127" t="s">
        <v>101</v>
      </c>
      <c r="Y127" t="s">
        <v>107</v>
      </c>
      <c r="AA127" t="s">
        <v>108</v>
      </c>
      <c r="AI127">
        <v>110</v>
      </c>
      <c r="AJ127">
        <v>50</v>
      </c>
      <c r="AK127" s="3">
        <v>6638</v>
      </c>
      <c r="AL127" s="3">
        <v>30956</v>
      </c>
      <c r="AM127" s="3">
        <v>28830</v>
      </c>
      <c r="AN127" s="3">
        <v>50</v>
      </c>
    </row>
    <row r="128" spans="6:41">
      <c r="AI128">
        <v>120</v>
      </c>
      <c r="AJ128">
        <v>55</v>
      </c>
      <c r="AK128" s="3">
        <v>7843</v>
      </c>
      <c r="AL128" s="3">
        <v>37351</v>
      </c>
      <c r="AM128" s="3">
        <v>34626</v>
      </c>
      <c r="AN128" s="3">
        <v>55</v>
      </c>
    </row>
    <row r="129" spans="6:36">
      <c r="F129" t="s">
        <v>118</v>
      </c>
      <c r="V129" t="s">
        <v>109</v>
      </c>
      <c r="W129" t="s">
        <v>102</v>
      </c>
      <c r="X129" t="s">
        <v>103</v>
      </c>
      <c r="Y129" t="s">
        <v>104</v>
      </c>
      <c r="Z129" t="s">
        <v>105</v>
      </c>
      <c r="AA129" t="s">
        <v>106</v>
      </c>
      <c r="AB129" t="s">
        <v>113</v>
      </c>
    </row>
    <row r="130" spans="6:36">
      <c r="U130" t="s">
        <v>110</v>
      </c>
      <c r="V130">
        <v>10</v>
      </c>
      <c r="W130">
        <v>10</v>
      </c>
      <c r="X130">
        <v>2228</v>
      </c>
      <c r="AB130">
        <v>10</v>
      </c>
    </row>
    <row r="131" spans="6:36">
      <c r="U131" t="s">
        <v>111</v>
      </c>
      <c r="V131">
        <v>30</v>
      </c>
      <c r="W131">
        <v>15</v>
      </c>
      <c r="X131">
        <v>3188</v>
      </c>
      <c r="AB131">
        <v>10</v>
      </c>
    </row>
    <row r="132" spans="6:36">
      <c r="F132">
        <v>1</v>
      </c>
      <c r="G132">
        <v>0</v>
      </c>
      <c r="H132">
        <v>105</v>
      </c>
      <c r="J132" t="s">
        <v>116</v>
      </c>
      <c r="U132" t="s">
        <v>112</v>
      </c>
      <c r="V132">
        <v>50</v>
      </c>
      <c r="W132">
        <v>20</v>
      </c>
      <c r="X132">
        <v>4549</v>
      </c>
      <c r="AB132">
        <v>7.5</v>
      </c>
    </row>
    <row r="133" spans="6:36">
      <c r="F133">
        <v>2</v>
      </c>
      <c r="G133">
        <v>0</v>
      </c>
      <c r="H133">
        <v>105</v>
      </c>
      <c r="J133" t="s">
        <v>119</v>
      </c>
      <c r="W133">
        <v>25</v>
      </c>
      <c r="X133">
        <v>5735</v>
      </c>
      <c r="AB133">
        <v>7.5</v>
      </c>
    </row>
    <row r="134" spans="6:36">
      <c r="F134">
        <v>3</v>
      </c>
      <c r="G134">
        <v>0</v>
      </c>
      <c r="H134">
        <v>105</v>
      </c>
      <c r="J134" t="s">
        <v>120</v>
      </c>
      <c r="W134">
        <v>30</v>
      </c>
      <c r="X134">
        <v>7268</v>
      </c>
      <c r="AB134">
        <v>5</v>
      </c>
    </row>
    <row r="135" spans="6:36">
      <c r="F135">
        <v>4</v>
      </c>
      <c r="G135">
        <v>0.97</v>
      </c>
      <c r="H135">
        <v>105</v>
      </c>
      <c r="J135" t="s">
        <v>121</v>
      </c>
      <c r="W135">
        <v>35</v>
      </c>
      <c r="X135">
        <v>7973</v>
      </c>
      <c r="AB135">
        <v>5</v>
      </c>
      <c r="AH135" t="s">
        <v>134</v>
      </c>
    </row>
    <row r="136" spans="6:36">
      <c r="F136">
        <v>5</v>
      </c>
      <c r="G136">
        <v>7.08</v>
      </c>
      <c r="H136">
        <v>105</v>
      </c>
      <c r="W136">
        <v>40</v>
      </c>
      <c r="X136">
        <v>8734</v>
      </c>
      <c r="AB136">
        <v>2.5</v>
      </c>
    </row>
    <row r="137" spans="6:36">
      <c r="F137">
        <v>6</v>
      </c>
      <c r="G137">
        <v>8.07</v>
      </c>
      <c r="H137">
        <v>105</v>
      </c>
      <c r="W137">
        <v>45</v>
      </c>
      <c r="AB137">
        <v>2.5</v>
      </c>
      <c r="AG137" t="s">
        <v>131</v>
      </c>
      <c r="AH137" t="s">
        <v>130</v>
      </c>
      <c r="AI137" t="s">
        <v>135</v>
      </c>
      <c r="AJ137" t="s">
        <v>136</v>
      </c>
    </row>
    <row r="138" spans="6:36">
      <c r="F138">
        <v>7</v>
      </c>
      <c r="G138">
        <v>17.96</v>
      </c>
      <c r="H138">
        <v>105</v>
      </c>
      <c r="W138">
        <v>50</v>
      </c>
      <c r="AB138">
        <v>1</v>
      </c>
      <c r="AG138">
        <v>30</v>
      </c>
      <c r="AH138">
        <v>10</v>
      </c>
      <c r="AI138" s="3">
        <v>741</v>
      </c>
      <c r="AJ138">
        <v>692</v>
      </c>
    </row>
    <row r="139" spans="6:36">
      <c r="F139">
        <v>8</v>
      </c>
      <c r="G139">
        <v>33.89</v>
      </c>
      <c r="H139">
        <v>105</v>
      </c>
      <c r="W139">
        <v>55</v>
      </c>
      <c r="AB139">
        <v>1</v>
      </c>
      <c r="AG139">
        <v>40</v>
      </c>
      <c r="AH139">
        <v>15</v>
      </c>
      <c r="AI139" s="3">
        <v>1503</v>
      </c>
      <c r="AJ139" s="3">
        <v>1341</v>
      </c>
    </row>
    <row r="140" spans="6:36">
      <c r="F140">
        <v>9</v>
      </c>
      <c r="G140">
        <v>69.94</v>
      </c>
      <c r="H140">
        <v>105</v>
      </c>
      <c r="AG140">
        <v>50</v>
      </c>
      <c r="AH140">
        <v>20</v>
      </c>
      <c r="AI140" s="3">
        <v>2611</v>
      </c>
      <c r="AJ140" s="3">
        <v>2296</v>
      </c>
    </row>
    <row r="141" spans="6:36">
      <c r="F141">
        <v>10</v>
      </c>
      <c r="G141">
        <v>83.02</v>
      </c>
      <c r="H141">
        <v>105</v>
      </c>
      <c r="AG141">
        <v>60</v>
      </c>
      <c r="AH141">
        <v>25</v>
      </c>
      <c r="AI141" s="3">
        <v>3512</v>
      </c>
      <c r="AJ141">
        <v>3597</v>
      </c>
    </row>
    <row r="142" spans="6:36">
      <c r="F142">
        <v>11</v>
      </c>
      <c r="G142">
        <v>92.06</v>
      </c>
      <c r="H142">
        <v>105</v>
      </c>
      <c r="AG142">
        <v>70</v>
      </c>
      <c r="AH142">
        <v>30</v>
      </c>
      <c r="AI142" s="3">
        <v>5294</v>
      </c>
      <c r="AJ142" s="3">
        <v>4967</v>
      </c>
    </row>
    <row r="143" spans="6:36">
      <c r="F143">
        <v>12</v>
      </c>
      <c r="G143">
        <v>99.12</v>
      </c>
      <c r="H143">
        <v>105</v>
      </c>
      <c r="AG143">
        <v>80</v>
      </c>
      <c r="AH143">
        <v>35</v>
      </c>
      <c r="AI143" s="3">
        <v>6417</v>
      </c>
      <c r="AJ143" s="3">
        <v>6563</v>
      </c>
    </row>
    <row r="144" spans="6:36">
      <c r="F144">
        <v>13</v>
      </c>
      <c r="G144">
        <v>99.86</v>
      </c>
      <c r="H144">
        <v>105</v>
      </c>
      <c r="AG144">
        <v>90</v>
      </c>
      <c r="AH144">
        <v>40</v>
      </c>
      <c r="AI144" s="3">
        <v>8582</v>
      </c>
      <c r="AJ144" s="3">
        <v>8590</v>
      </c>
    </row>
    <row r="145" spans="6:38">
      <c r="F145">
        <v>14</v>
      </c>
      <c r="G145">
        <v>100.16</v>
      </c>
      <c r="H145">
        <v>105</v>
      </c>
      <c r="AG145">
        <v>100</v>
      </c>
      <c r="AH145">
        <v>45</v>
      </c>
      <c r="AI145" s="3">
        <v>10828</v>
      </c>
      <c r="AJ145" s="3">
        <v>10227</v>
      </c>
    </row>
    <row r="146" spans="6:38">
      <c r="F146">
        <v>15</v>
      </c>
      <c r="G146">
        <v>100.37</v>
      </c>
      <c r="H146">
        <v>105</v>
      </c>
      <c r="AG146">
        <v>110</v>
      </c>
      <c r="AH146">
        <v>50</v>
      </c>
      <c r="AI146" s="3">
        <v>12946</v>
      </c>
      <c r="AJ146" s="3">
        <v>13035</v>
      </c>
    </row>
    <row r="147" spans="6:38">
      <c r="F147">
        <v>16</v>
      </c>
      <c r="G147">
        <v>100.2</v>
      </c>
      <c r="H147">
        <v>105</v>
      </c>
      <c r="AG147">
        <v>120</v>
      </c>
      <c r="AH147">
        <v>55</v>
      </c>
      <c r="AI147" s="3">
        <v>16534</v>
      </c>
      <c r="AJ147" s="3">
        <v>15531</v>
      </c>
    </row>
    <row r="148" spans="6:38">
      <c r="F148">
        <v>17</v>
      </c>
      <c r="G148">
        <v>100.34</v>
      </c>
      <c r="H148">
        <v>105</v>
      </c>
      <c r="X148" t="s">
        <v>122</v>
      </c>
      <c r="Z148" t="s">
        <v>123</v>
      </c>
    </row>
    <row r="149" spans="6:38">
      <c r="F149">
        <v>18</v>
      </c>
      <c r="G149">
        <v>100.56</v>
      </c>
      <c r="H149">
        <v>105</v>
      </c>
      <c r="AI149" s="3">
        <v>44</v>
      </c>
      <c r="AJ149" s="3">
        <v>37</v>
      </c>
      <c r="AL149" t="s">
        <v>138</v>
      </c>
    </row>
    <row r="150" spans="6:38">
      <c r="F150">
        <v>19</v>
      </c>
      <c r="G150">
        <v>100.46</v>
      </c>
      <c r="H150">
        <v>105</v>
      </c>
      <c r="X150" t="s">
        <v>103</v>
      </c>
      <c r="Y150" t="s">
        <v>128</v>
      </c>
      <c r="Z150" t="s">
        <v>126</v>
      </c>
      <c r="AA150" t="s">
        <v>127</v>
      </c>
      <c r="AB150" t="s">
        <v>129</v>
      </c>
      <c r="AI150" s="3">
        <v>59</v>
      </c>
      <c r="AJ150" s="3">
        <v>57</v>
      </c>
    </row>
    <row r="151" spans="6:38">
      <c r="F151">
        <v>20</v>
      </c>
      <c r="G151">
        <v>100.69</v>
      </c>
      <c r="H151">
        <v>105</v>
      </c>
      <c r="T151" t="s">
        <v>124</v>
      </c>
      <c r="W151">
        <v>1</v>
      </c>
      <c r="X151">
        <v>2</v>
      </c>
      <c r="Y151">
        <v>3</v>
      </c>
      <c r="Z151">
        <v>2</v>
      </c>
      <c r="AA151">
        <v>3</v>
      </c>
      <c r="AB151">
        <v>30</v>
      </c>
      <c r="AI151" s="3">
        <v>81</v>
      </c>
      <c r="AJ151">
        <v>76</v>
      </c>
    </row>
    <row r="152" spans="6:38">
      <c r="T152" t="s">
        <v>125</v>
      </c>
      <c r="U152" t="s">
        <v>126</v>
      </c>
      <c r="V152" t="s">
        <v>127</v>
      </c>
      <c r="W152">
        <v>2</v>
      </c>
      <c r="X152">
        <v>2</v>
      </c>
      <c r="Y152">
        <v>1</v>
      </c>
      <c r="Z152">
        <v>2</v>
      </c>
      <c r="AA152">
        <v>3</v>
      </c>
      <c r="AB152">
        <v>31</v>
      </c>
      <c r="AI152" s="3">
        <v>99</v>
      </c>
      <c r="AJ152">
        <v>94</v>
      </c>
    </row>
    <row r="153" spans="6:38">
      <c r="T153">
        <v>1</v>
      </c>
      <c r="U153">
        <v>1</v>
      </c>
      <c r="V153">
        <v>1</v>
      </c>
      <c r="W153">
        <v>3</v>
      </c>
      <c r="X153">
        <v>2</v>
      </c>
      <c r="Y153">
        <v>0</v>
      </c>
      <c r="Z153">
        <v>2</v>
      </c>
      <c r="AA153">
        <v>3</v>
      </c>
      <c r="AB153">
        <v>30</v>
      </c>
      <c r="AI153" s="3">
        <v>121</v>
      </c>
      <c r="AJ153">
        <v>118</v>
      </c>
    </row>
    <row r="154" spans="6:38">
      <c r="T154">
        <v>2</v>
      </c>
      <c r="U154">
        <v>2</v>
      </c>
      <c r="V154">
        <v>3</v>
      </c>
      <c r="W154">
        <v>4</v>
      </c>
      <c r="X154">
        <v>2</v>
      </c>
      <c r="Y154">
        <v>0</v>
      </c>
      <c r="Z154">
        <v>2</v>
      </c>
      <c r="AA154">
        <v>3</v>
      </c>
      <c r="AB154">
        <v>28</v>
      </c>
      <c r="AI154" s="3">
        <v>141</v>
      </c>
      <c r="AJ154">
        <v>132</v>
      </c>
    </row>
    <row r="155" spans="6:38">
      <c r="T155">
        <v>3</v>
      </c>
      <c r="U155">
        <v>4</v>
      </c>
      <c r="V155">
        <v>6</v>
      </c>
      <c r="W155">
        <v>5</v>
      </c>
      <c r="X155">
        <v>2</v>
      </c>
      <c r="Y155">
        <v>0</v>
      </c>
      <c r="Z155">
        <v>2</v>
      </c>
      <c r="AA155">
        <v>3</v>
      </c>
      <c r="AB155">
        <v>26</v>
      </c>
      <c r="AI155" s="3">
        <v>156</v>
      </c>
      <c r="AJ155">
        <v>153</v>
      </c>
    </row>
    <row r="156" spans="6:38">
      <c r="F156">
        <v>1</v>
      </c>
      <c r="G156">
        <v>10.97</v>
      </c>
      <c r="T156">
        <v>4</v>
      </c>
      <c r="U156">
        <v>6</v>
      </c>
      <c r="V156">
        <v>9</v>
      </c>
      <c r="W156">
        <v>6</v>
      </c>
      <c r="X156">
        <v>2</v>
      </c>
      <c r="Y156">
        <v>0</v>
      </c>
      <c r="Z156">
        <v>2</v>
      </c>
      <c r="AA156">
        <v>3</v>
      </c>
      <c r="AB156">
        <v>24</v>
      </c>
      <c r="AI156" s="3">
        <v>179</v>
      </c>
      <c r="AJ156">
        <v>160</v>
      </c>
    </row>
    <row r="157" spans="6:38">
      <c r="F157">
        <v>2</v>
      </c>
      <c r="G157">
        <v>15.9</v>
      </c>
      <c r="T157">
        <v>5</v>
      </c>
      <c r="U157">
        <v>9</v>
      </c>
      <c r="V157">
        <v>13</v>
      </c>
      <c r="W157">
        <v>7</v>
      </c>
      <c r="X157">
        <v>2</v>
      </c>
      <c r="Y157">
        <v>0</v>
      </c>
      <c r="Z157">
        <v>2</v>
      </c>
      <c r="AA157">
        <v>3</v>
      </c>
      <c r="AB157">
        <v>22</v>
      </c>
      <c r="AI157" s="3">
        <v>187</v>
      </c>
      <c r="AJ157">
        <v>182</v>
      </c>
    </row>
    <row r="158" spans="6:38">
      <c r="F158">
        <v>3</v>
      </c>
      <c r="G158">
        <v>22.09</v>
      </c>
      <c r="T158">
        <v>6</v>
      </c>
      <c r="U158">
        <v>12</v>
      </c>
      <c r="V158">
        <v>18</v>
      </c>
      <c r="W158">
        <v>8</v>
      </c>
      <c r="X158">
        <v>2</v>
      </c>
      <c r="Y158">
        <v>0</v>
      </c>
      <c r="Z158">
        <v>2</v>
      </c>
      <c r="AA158">
        <v>3</v>
      </c>
      <c r="AB158">
        <v>20</v>
      </c>
      <c r="AI158" s="3">
        <v>215</v>
      </c>
      <c r="AJ158">
        <v>209</v>
      </c>
    </row>
    <row r="159" spans="6:38">
      <c r="F159">
        <v>4</v>
      </c>
      <c r="G159">
        <v>30.16</v>
      </c>
      <c r="T159">
        <v>7</v>
      </c>
      <c r="U159">
        <v>15</v>
      </c>
      <c r="V159">
        <v>22</v>
      </c>
      <c r="W159">
        <v>9</v>
      </c>
      <c r="X159">
        <v>2</v>
      </c>
      <c r="Y159">
        <v>0</v>
      </c>
      <c r="Z159">
        <v>2</v>
      </c>
      <c r="AA159">
        <v>3</v>
      </c>
      <c r="AB159">
        <v>18</v>
      </c>
    </row>
    <row r="160" spans="6:38">
      <c r="F160">
        <v>5</v>
      </c>
      <c r="G160">
        <v>36.36</v>
      </c>
      <c r="W160">
        <v>10</v>
      </c>
      <c r="X160">
        <v>2</v>
      </c>
      <c r="Y160">
        <v>0</v>
      </c>
      <c r="Z160">
        <v>2</v>
      </c>
      <c r="AA160">
        <v>3</v>
      </c>
      <c r="AB160">
        <v>16</v>
      </c>
    </row>
    <row r="161" spans="4:39">
      <c r="F161">
        <v>6</v>
      </c>
      <c r="G161">
        <v>38.270000000000003</v>
      </c>
      <c r="W161">
        <v>11</v>
      </c>
      <c r="X161">
        <v>1</v>
      </c>
      <c r="Y161">
        <v>0</v>
      </c>
      <c r="Z161">
        <v>1</v>
      </c>
      <c r="AA161">
        <v>1</v>
      </c>
      <c r="AB161">
        <v>14</v>
      </c>
      <c r="AI161" s="3">
        <v>20</v>
      </c>
      <c r="AJ161">
        <v>24</v>
      </c>
    </row>
    <row r="162" spans="4:39">
      <c r="F162">
        <v>7</v>
      </c>
      <c r="G162">
        <v>37.409999999999997</v>
      </c>
      <c r="W162">
        <v>12</v>
      </c>
      <c r="X162">
        <v>1</v>
      </c>
      <c r="Y162">
        <v>0</v>
      </c>
      <c r="Z162">
        <v>1</v>
      </c>
      <c r="AA162">
        <v>1</v>
      </c>
      <c r="AB162">
        <v>13</v>
      </c>
      <c r="AI162">
        <v>25</v>
      </c>
      <c r="AJ162">
        <v>25</v>
      </c>
    </row>
    <row r="163" spans="4:39">
      <c r="F163">
        <v>8</v>
      </c>
      <c r="G163">
        <v>35.43</v>
      </c>
      <c r="W163">
        <v>13</v>
      </c>
      <c r="X163">
        <v>1</v>
      </c>
      <c r="Y163">
        <v>0</v>
      </c>
      <c r="Z163">
        <v>1</v>
      </c>
      <c r="AA163">
        <v>1</v>
      </c>
      <c r="AB163">
        <v>12</v>
      </c>
      <c r="AI163">
        <v>30</v>
      </c>
      <c r="AJ163">
        <v>40</v>
      </c>
    </row>
    <row r="164" spans="4:39">
      <c r="F164">
        <v>9</v>
      </c>
      <c r="G164">
        <v>30.75</v>
      </c>
      <c r="W164">
        <v>14</v>
      </c>
      <c r="X164">
        <v>1</v>
      </c>
      <c r="Y164">
        <v>0</v>
      </c>
      <c r="Z164">
        <v>1</v>
      </c>
      <c r="AA164">
        <v>1</v>
      </c>
      <c r="AB164">
        <v>11</v>
      </c>
      <c r="AI164">
        <v>35</v>
      </c>
      <c r="AJ164">
        <v>37</v>
      </c>
    </row>
    <row r="165" spans="4:39">
      <c r="F165">
        <v>10</v>
      </c>
      <c r="G165">
        <v>24.25</v>
      </c>
      <c r="W165">
        <v>15</v>
      </c>
      <c r="X165">
        <v>1</v>
      </c>
      <c r="Y165">
        <v>1</v>
      </c>
      <c r="Z165">
        <v>1</v>
      </c>
      <c r="AA165">
        <v>1</v>
      </c>
      <c r="AB165">
        <v>10</v>
      </c>
      <c r="AI165">
        <v>40</v>
      </c>
      <c r="AJ165">
        <v>42</v>
      </c>
    </row>
    <row r="166" spans="4:39">
      <c r="F166">
        <v>11</v>
      </c>
      <c r="G166">
        <v>17.04</v>
      </c>
      <c r="W166">
        <v>16</v>
      </c>
      <c r="X166">
        <v>2</v>
      </c>
      <c r="Y166">
        <v>3</v>
      </c>
      <c r="Z166">
        <v>2</v>
      </c>
      <c r="AA166">
        <v>3</v>
      </c>
      <c r="AB166">
        <v>10</v>
      </c>
      <c r="AI166">
        <v>45</v>
      </c>
      <c r="AJ166">
        <v>51</v>
      </c>
    </row>
    <row r="167" spans="4:39">
      <c r="F167">
        <v>12</v>
      </c>
      <c r="G167">
        <v>11.43</v>
      </c>
      <c r="W167">
        <v>17</v>
      </c>
      <c r="X167">
        <v>2</v>
      </c>
      <c r="Y167">
        <v>5</v>
      </c>
      <c r="Z167">
        <v>2</v>
      </c>
      <c r="AA167">
        <v>3</v>
      </c>
      <c r="AB167">
        <v>11</v>
      </c>
      <c r="AI167">
        <v>50</v>
      </c>
      <c r="AJ167" s="3">
        <v>57</v>
      </c>
    </row>
    <row r="168" spans="4:39">
      <c r="W168">
        <v>18</v>
      </c>
      <c r="X168">
        <v>2</v>
      </c>
      <c r="Y168">
        <v>7</v>
      </c>
      <c r="Z168">
        <v>2</v>
      </c>
      <c r="AA168">
        <v>3</v>
      </c>
      <c r="AB168">
        <v>14</v>
      </c>
      <c r="AI168">
        <v>55</v>
      </c>
      <c r="AJ168">
        <v>68</v>
      </c>
    </row>
    <row r="169" spans="4:39">
      <c r="W169">
        <v>19</v>
      </c>
      <c r="X169">
        <v>2</v>
      </c>
      <c r="Y169">
        <v>9</v>
      </c>
      <c r="Z169">
        <v>2</v>
      </c>
      <c r="AA169">
        <v>3</v>
      </c>
      <c r="AB169">
        <v>19</v>
      </c>
      <c r="AI169">
        <v>60</v>
      </c>
      <c r="AJ169">
        <v>61</v>
      </c>
    </row>
    <row r="170" spans="4:39">
      <c r="W170">
        <v>20</v>
      </c>
      <c r="X170">
        <v>2</v>
      </c>
      <c r="Y170">
        <v>10</v>
      </c>
      <c r="Z170">
        <v>2</v>
      </c>
      <c r="AA170">
        <v>3</v>
      </c>
      <c r="AB170">
        <v>26</v>
      </c>
      <c r="AI170">
        <v>65</v>
      </c>
      <c r="AJ170">
        <v>67</v>
      </c>
    </row>
    <row r="171" spans="4:39">
      <c r="W171">
        <v>21</v>
      </c>
      <c r="X171">
        <v>3</v>
      </c>
      <c r="Y171">
        <v>10</v>
      </c>
      <c r="Z171">
        <v>4</v>
      </c>
      <c r="AA171">
        <v>6</v>
      </c>
      <c r="AB171">
        <v>34</v>
      </c>
    </row>
    <row r="172" spans="4:39">
      <c r="W172">
        <v>22</v>
      </c>
      <c r="X172">
        <v>4</v>
      </c>
      <c r="Y172">
        <v>9</v>
      </c>
      <c r="Z172">
        <v>6</v>
      </c>
      <c r="AA172">
        <v>9</v>
      </c>
      <c r="AB172">
        <v>40</v>
      </c>
    </row>
    <row r="173" spans="4:39">
      <c r="W173">
        <v>23</v>
      </c>
      <c r="X173">
        <v>6</v>
      </c>
      <c r="Y173">
        <v>8</v>
      </c>
      <c r="Z173">
        <v>12</v>
      </c>
      <c r="AA173">
        <v>18</v>
      </c>
      <c r="AB173">
        <v>43</v>
      </c>
    </row>
    <row r="174" spans="4:39">
      <c r="W174">
        <v>24</v>
      </c>
      <c r="X174">
        <v>7</v>
      </c>
      <c r="Y174">
        <v>6</v>
      </c>
      <c r="Z174">
        <v>15</v>
      </c>
      <c r="AA174">
        <v>22</v>
      </c>
      <c r="AB174">
        <v>39</v>
      </c>
      <c r="AF174" t="s">
        <v>139</v>
      </c>
      <c r="AM174" t="s">
        <v>149</v>
      </c>
    </row>
    <row r="175" spans="4:39">
      <c r="D175" t="s">
        <v>23</v>
      </c>
      <c r="H175" t="s">
        <v>26</v>
      </c>
      <c r="AA175">
        <v>105</v>
      </c>
      <c r="AB175">
        <v>30</v>
      </c>
      <c r="AF175" t="s">
        <v>140</v>
      </c>
    </row>
    <row r="176" spans="4:39">
      <c r="AF176" t="s">
        <v>141</v>
      </c>
    </row>
    <row r="177" spans="3:67">
      <c r="C177" t="s">
        <v>25</v>
      </c>
      <c r="D177" t="s">
        <v>24</v>
      </c>
      <c r="E177" t="s">
        <v>27</v>
      </c>
      <c r="F177" t="s">
        <v>28</v>
      </c>
      <c r="G177" t="s">
        <v>29</v>
      </c>
      <c r="H177" t="s">
        <v>30</v>
      </c>
      <c r="I177" t="s">
        <v>31</v>
      </c>
      <c r="J177" t="s">
        <v>32</v>
      </c>
      <c r="K177" t="s">
        <v>33</v>
      </c>
      <c r="L177" t="s">
        <v>34</v>
      </c>
      <c r="M177" t="s">
        <v>35</v>
      </c>
      <c r="N177" t="s">
        <v>36</v>
      </c>
      <c r="O177" t="s">
        <v>37</v>
      </c>
      <c r="X177" t="s">
        <v>104</v>
      </c>
      <c r="AB177" t="s">
        <v>129</v>
      </c>
      <c r="AF177" t="s">
        <v>116</v>
      </c>
    </row>
    <row r="178" spans="3:67"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W178">
        <v>1</v>
      </c>
      <c r="X178">
        <v>1</v>
      </c>
      <c r="Z178">
        <v>1</v>
      </c>
      <c r="AA178">
        <v>1</v>
      </c>
      <c r="AB178">
        <v>30</v>
      </c>
      <c r="AF178" t="s">
        <v>143</v>
      </c>
    </row>
    <row r="179" spans="3:67">
      <c r="C179">
        <v>1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W179">
        <v>2</v>
      </c>
      <c r="X179">
        <v>1</v>
      </c>
      <c r="Z179">
        <v>1</v>
      </c>
      <c r="AA179">
        <v>1</v>
      </c>
      <c r="AB179">
        <v>32</v>
      </c>
    </row>
    <row r="180" spans="3:67">
      <c r="C180">
        <v>2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W180">
        <v>3</v>
      </c>
      <c r="X180">
        <v>1</v>
      </c>
      <c r="Z180">
        <v>1</v>
      </c>
      <c r="AA180">
        <v>1</v>
      </c>
      <c r="AB180">
        <v>32</v>
      </c>
      <c r="AM180" t="s">
        <v>153</v>
      </c>
      <c r="AS180" t="s">
        <v>154</v>
      </c>
      <c r="AY180" t="s">
        <v>105</v>
      </c>
      <c r="BE180" t="s">
        <v>103</v>
      </c>
      <c r="BK180" t="s">
        <v>155</v>
      </c>
    </row>
    <row r="181" spans="3:67">
      <c r="C181">
        <v>3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W181">
        <v>4</v>
      </c>
      <c r="X181">
        <v>1</v>
      </c>
      <c r="Z181">
        <v>1</v>
      </c>
      <c r="AA181">
        <v>1</v>
      </c>
      <c r="AB181">
        <v>31</v>
      </c>
      <c r="AF181" t="s">
        <v>142</v>
      </c>
      <c r="AG181" t="s">
        <v>144</v>
      </c>
      <c r="AH181" t="s">
        <v>145</v>
      </c>
      <c r="AI181" t="s">
        <v>146</v>
      </c>
      <c r="AL181" t="s">
        <v>150</v>
      </c>
      <c r="AM181" t="s">
        <v>127</v>
      </c>
      <c r="AN181" t="s">
        <v>152</v>
      </c>
      <c r="AO181" t="s">
        <v>151</v>
      </c>
      <c r="AP181" t="s">
        <v>126</v>
      </c>
      <c r="AQ181" t="s">
        <v>109</v>
      </c>
      <c r="AS181" t="s">
        <v>127</v>
      </c>
      <c r="AT181" t="s">
        <v>152</v>
      </c>
      <c r="AU181" t="s">
        <v>151</v>
      </c>
      <c r="AV181" t="s">
        <v>126</v>
      </c>
      <c r="AW181" t="s">
        <v>109</v>
      </c>
      <c r="AY181" t="s">
        <v>127</v>
      </c>
      <c r="AZ181" t="s">
        <v>152</v>
      </c>
      <c r="BA181" t="s">
        <v>151</v>
      </c>
      <c r="BB181" t="s">
        <v>126</v>
      </c>
      <c r="BC181" t="s">
        <v>109</v>
      </c>
      <c r="BE181" t="s">
        <v>127</v>
      </c>
      <c r="BF181" t="s">
        <v>152</v>
      </c>
      <c r="BG181" t="s">
        <v>151</v>
      </c>
      <c r="BH181" t="s">
        <v>126</v>
      </c>
      <c r="BI181" t="s">
        <v>109</v>
      </c>
      <c r="BK181" t="s">
        <v>127</v>
      </c>
      <c r="BL181" t="s">
        <v>152</v>
      </c>
      <c r="BM181" t="s">
        <v>151</v>
      </c>
      <c r="BN181" t="s">
        <v>126</v>
      </c>
      <c r="BO181" t="s">
        <v>109</v>
      </c>
    </row>
    <row r="182" spans="3:67">
      <c r="C182">
        <v>4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2</v>
      </c>
      <c r="J182">
        <v>1</v>
      </c>
      <c r="K182">
        <v>0</v>
      </c>
      <c r="L182">
        <v>0</v>
      </c>
      <c r="M182">
        <v>0</v>
      </c>
      <c r="N182">
        <v>0</v>
      </c>
      <c r="O182">
        <v>0</v>
      </c>
      <c r="W182">
        <v>5</v>
      </c>
      <c r="X182">
        <v>1</v>
      </c>
      <c r="Z182">
        <v>1</v>
      </c>
      <c r="AA182">
        <v>1</v>
      </c>
      <c r="AB182">
        <v>30</v>
      </c>
      <c r="AG182">
        <v>1</v>
      </c>
      <c r="AH182">
        <v>0</v>
      </c>
      <c r="AI182">
        <v>100</v>
      </c>
      <c r="AL182">
        <v>0</v>
      </c>
      <c r="AN182">
        <v>0</v>
      </c>
      <c r="AQ182">
        <v>30</v>
      </c>
      <c r="AT182">
        <v>0</v>
      </c>
      <c r="AW182">
        <v>30</v>
      </c>
      <c r="AZ182">
        <v>0</v>
      </c>
      <c r="BC182">
        <v>30</v>
      </c>
      <c r="BF182">
        <v>0</v>
      </c>
      <c r="BI182">
        <v>30</v>
      </c>
      <c r="BL182">
        <v>0</v>
      </c>
      <c r="BO182">
        <v>30</v>
      </c>
    </row>
    <row r="183" spans="3:67">
      <c r="C183">
        <v>5</v>
      </c>
      <c r="D183">
        <v>0</v>
      </c>
      <c r="E183">
        <v>0</v>
      </c>
      <c r="F183">
        <v>0</v>
      </c>
      <c r="G183">
        <v>0</v>
      </c>
      <c r="H183">
        <v>4</v>
      </c>
      <c r="I183">
        <v>8</v>
      </c>
      <c r="J183">
        <v>8</v>
      </c>
      <c r="K183">
        <v>4</v>
      </c>
      <c r="L183">
        <v>1</v>
      </c>
      <c r="M183">
        <v>0</v>
      </c>
      <c r="N183">
        <v>0</v>
      </c>
      <c r="O183">
        <v>0</v>
      </c>
      <c r="W183">
        <v>6</v>
      </c>
      <c r="X183">
        <v>2</v>
      </c>
      <c r="Z183">
        <v>2</v>
      </c>
      <c r="AA183">
        <v>3</v>
      </c>
      <c r="AB183">
        <v>29</v>
      </c>
      <c r="AG183">
        <v>2</v>
      </c>
      <c r="AH183">
        <v>0.95</v>
      </c>
      <c r="AI183">
        <v>100</v>
      </c>
      <c r="AL183">
        <v>1</v>
      </c>
      <c r="AM183">
        <v>1</v>
      </c>
      <c r="AN183">
        <v>1</v>
      </c>
      <c r="AO183">
        <v>3</v>
      </c>
      <c r="AP183">
        <v>1</v>
      </c>
      <c r="AQ183">
        <v>32</v>
      </c>
      <c r="AS183">
        <v>1</v>
      </c>
      <c r="AT183">
        <v>1</v>
      </c>
      <c r="AU183">
        <v>3</v>
      </c>
      <c r="AV183">
        <v>1</v>
      </c>
      <c r="AW183">
        <v>32</v>
      </c>
      <c r="AY183">
        <v>5</v>
      </c>
      <c r="AZ183">
        <v>5</v>
      </c>
      <c r="BA183">
        <v>3</v>
      </c>
      <c r="BB183">
        <v>3</v>
      </c>
      <c r="BC183">
        <v>30</v>
      </c>
      <c r="BE183">
        <v>5</v>
      </c>
      <c r="BF183">
        <v>5</v>
      </c>
      <c r="BG183">
        <v>3</v>
      </c>
      <c r="BH183">
        <v>3</v>
      </c>
      <c r="BI183">
        <v>30</v>
      </c>
      <c r="BK183">
        <v>1</v>
      </c>
      <c r="BL183">
        <v>1</v>
      </c>
      <c r="BM183">
        <v>3</v>
      </c>
      <c r="BN183">
        <v>1</v>
      </c>
      <c r="BO183">
        <v>32</v>
      </c>
    </row>
    <row r="184" spans="3:67">
      <c r="C184">
        <v>6</v>
      </c>
      <c r="D184">
        <v>0</v>
      </c>
      <c r="E184">
        <v>0</v>
      </c>
      <c r="F184">
        <v>0</v>
      </c>
      <c r="G184">
        <v>7</v>
      </c>
      <c r="H184">
        <v>20</v>
      </c>
      <c r="I184">
        <v>26</v>
      </c>
      <c r="J184">
        <v>24</v>
      </c>
      <c r="K184">
        <v>19</v>
      </c>
      <c r="L184">
        <v>11</v>
      </c>
      <c r="M184">
        <v>3</v>
      </c>
      <c r="N184">
        <v>0</v>
      </c>
      <c r="O184">
        <v>0</v>
      </c>
      <c r="W184">
        <v>7</v>
      </c>
      <c r="X184">
        <v>1</v>
      </c>
      <c r="Z184">
        <v>1</v>
      </c>
      <c r="AA184">
        <v>1</v>
      </c>
      <c r="AB184">
        <v>27</v>
      </c>
      <c r="AG184">
        <v>3</v>
      </c>
      <c r="AH184" s="1">
        <v>0</v>
      </c>
      <c r="AI184">
        <v>100</v>
      </c>
      <c r="AL184">
        <v>2</v>
      </c>
      <c r="AM184">
        <v>1</v>
      </c>
      <c r="AN184">
        <v>2</v>
      </c>
      <c r="AO184">
        <v>1</v>
      </c>
      <c r="AP184">
        <v>1</v>
      </c>
      <c r="AQ184">
        <v>32</v>
      </c>
      <c r="AS184">
        <v>1</v>
      </c>
      <c r="AT184">
        <v>2</v>
      </c>
      <c r="AU184">
        <v>1</v>
      </c>
      <c r="AV184">
        <v>1</v>
      </c>
      <c r="AW184">
        <v>32</v>
      </c>
      <c r="AY184">
        <v>3</v>
      </c>
      <c r="AZ184">
        <v>8</v>
      </c>
      <c r="BA184">
        <v>1</v>
      </c>
      <c r="BB184">
        <v>2</v>
      </c>
      <c r="BC184">
        <v>29</v>
      </c>
      <c r="BE184">
        <v>5</v>
      </c>
      <c r="BF184">
        <v>10</v>
      </c>
      <c r="BG184">
        <v>1</v>
      </c>
      <c r="BH184">
        <v>3</v>
      </c>
      <c r="BI184">
        <v>28</v>
      </c>
      <c r="BK184">
        <v>1</v>
      </c>
      <c r="BL184">
        <v>2</v>
      </c>
      <c r="BM184">
        <v>1</v>
      </c>
      <c r="BN184">
        <v>1</v>
      </c>
      <c r="BO184">
        <v>32</v>
      </c>
    </row>
    <row r="185" spans="3:67">
      <c r="C185">
        <v>7</v>
      </c>
      <c r="D185">
        <v>0</v>
      </c>
      <c r="E185">
        <v>0</v>
      </c>
      <c r="F185">
        <v>7</v>
      </c>
      <c r="G185">
        <v>28</v>
      </c>
      <c r="H185">
        <v>44</v>
      </c>
      <c r="I185">
        <v>49</v>
      </c>
      <c r="J185">
        <v>46</v>
      </c>
      <c r="K185">
        <v>40</v>
      </c>
      <c r="L185">
        <v>32</v>
      </c>
      <c r="M185">
        <v>21</v>
      </c>
      <c r="N185">
        <v>6</v>
      </c>
      <c r="O185">
        <v>0</v>
      </c>
      <c r="W185">
        <v>8</v>
      </c>
      <c r="X185">
        <v>1</v>
      </c>
      <c r="Z185">
        <v>1</v>
      </c>
      <c r="AA185">
        <v>1</v>
      </c>
      <c r="AB185">
        <v>26</v>
      </c>
      <c r="AG185">
        <v>4</v>
      </c>
      <c r="AH185" s="1">
        <v>7.63</v>
      </c>
      <c r="AI185">
        <v>100</v>
      </c>
      <c r="AL185">
        <v>3</v>
      </c>
      <c r="AM185">
        <v>1</v>
      </c>
      <c r="AN185">
        <v>3</v>
      </c>
      <c r="AO185">
        <v>0</v>
      </c>
      <c r="AP185">
        <v>1</v>
      </c>
      <c r="AQ185">
        <v>31</v>
      </c>
      <c r="AS185">
        <v>1</v>
      </c>
      <c r="AT185">
        <v>3</v>
      </c>
      <c r="AU185">
        <v>0</v>
      </c>
      <c r="AV185">
        <v>1</v>
      </c>
      <c r="AW185">
        <v>31</v>
      </c>
      <c r="AY185">
        <v>3</v>
      </c>
      <c r="AZ185">
        <v>11</v>
      </c>
      <c r="BA185">
        <v>0</v>
      </c>
      <c r="BB185">
        <v>2</v>
      </c>
      <c r="BC185">
        <v>27</v>
      </c>
      <c r="BE185">
        <v>5</v>
      </c>
      <c r="BF185">
        <v>15</v>
      </c>
      <c r="BG185">
        <v>0</v>
      </c>
      <c r="BH185">
        <v>3</v>
      </c>
      <c r="BI185">
        <v>25</v>
      </c>
      <c r="BK185">
        <v>1</v>
      </c>
      <c r="BL185">
        <v>3</v>
      </c>
      <c r="BM185">
        <v>0</v>
      </c>
      <c r="BN185">
        <v>1</v>
      </c>
      <c r="BO185">
        <v>31</v>
      </c>
    </row>
    <row r="186" spans="3:67">
      <c r="C186">
        <v>8</v>
      </c>
      <c r="D186">
        <v>4</v>
      </c>
      <c r="E186">
        <v>12</v>
      </c>
      <c r="F186">
        <v>30</v>
      </c>
      <c r="G186">
        <v>53</v>
      </c>
      <c r="H186">
        <v>68</v>
      </c>
      <c r="I186">
        <v>71</v>
      </c>
      <c r="J186">
        <v>67</v>
      </c>
      <c r="K186">
        <v>63</v>
      </c>
      <c r="L186">
        <v>56</v>
      </c>
      <c r="M186">
        <v>45</v>
      </c>
      <c r="N186">
        <v>29</v>
      </c>
      <c r="O186">
        <v>9</v>
      </c>
      <c r="W186">
        <v>9</v>
      </c>
      <c r="X186">
        <v>4</v>
      </c>
      <c r="Z186">
        <v>6</v>
      </c>
      <c r="AA186">
        <v>9</v>
      </c>
      <c r="AB186">
        <v>25</v>
      </c>
      <c r="AG186">
        <v>5</v>
      </c>
      <c r="AH186">
        <v>18.84</v>
      </c>
      <c r="AI186">
        <v>100</v>
      </c>
      <c r="AL186">
        <v>4</v>
      </c>
      <c r="AM186">
        <v>1</v>
      </c>
      <c r="AN186">
        <v>4</v>
      </c>
      <c r="AO186">
        <v>0</v>
      </c>
      <c r="AP186">
        <v>1</v>
      </c>
      <c r="AQ186">
        <v>30</v>
      </c>
      <c r="AS186">
        <v>1</v>
      </c>
      <c r="AT186">
        <v>4</v>
      </c>
      <c r="AU186">
        <v>0</v>
      </c>
      <c r="AV186">
        <v>1</v>
      </c>
      <c r="AW186">
        <v>30</v>
      </c>
      <c r="AY186">
        <v>3</v>
      </c>
      <c r="AZ186">
        <v>14</v>
      </c>
      <c r="BA186">
        <v>0</v>
      </c>
      <c r="BB186">
        <v>2</v>
      </c>
      <c r="BC186">
        <v>25</v>
      </c>
      <c r="BE186">
        <v>5</v>
      </c>
      <c r="BF186">
        <v>20</v>
      </c>
      <c r="BG186">
        <v>0</v>
      </c>
      <c r="BH186">
        <v>3</v>
      </c>
      <c r="BI186">
        <v>22</v>
      </c>
      <c r="BK186">
        <v>1</v>
      </c>
      <c r="BL186">
        <v>4</v>
      </c>
      <c r="BM186">
        <v>0</v>
      </c>
      <c r="BN186">
        <v>1</v>
      </c>
      <c r="BO186">
        <v>30</v>
      </c>
    </row>
    <row r="187" spans="3:67">
      <c r="C187">
        <v>9</v>
      </c>
      <c r="D187">
        <v>25</v>
      </c>
      <c r="E187">
        <v>37</v>
      </c>
      <c r="F187">
        <v>54</v>
      </c>
      <c r="G187">
        <v>75</v>
      </c>
      <c r="H187">
        <v>89</v>
      </c>
      <c r="I187">
        <v>90</v>
      </c>
      <c r="J187">
        <v>86</v>
      </c>
      <c r="K187">
        <v>83</v>
      </c>
      <c r="L187">
        <v>77</v>
      </c>
      <c r="M187">
        <v>67</v>
      </c>
      <c r="N187">
        <v>51</v>
      </c>
      <c r="O187">
        <v>32</v>
      </c>
      <c r="W187">
        <v>10</v>
      </c>
      <c r="X187">
        <v>2</v>
      </c>
      <c r="Z187">
        <v>2</v>
      </c>
      <c r="AA187">
        <v>3</v>
      </c>
      <c r="AB187">
        <v>19</v>
      </c>
      <c r="AG187">
        <v>6</v>
      </c>
      <c r="AH187">
        <v>38.700000000000003</v>
      </c>
      <c r="AI187">
        <v>100</v>
      </c>
      <c r="AL187">
        <v>5</v>
      </c>
      <c r="AM187">
        <v>1</v>
      </c>
      <c r="AN187">
        <v>5</v>
      </c>
      <c r="AO187">
        <v>0</v>
      </c>
      <c r="AP187">
        <v>1</v>
      </c>
      <c r="AQ187">
        <v>29</v>
      </c>
      <c r="AS187">
        <v>1</v>
      </c>
      <c r="AT187">
        <v>5</v>
      </c>
      <c r="AU187">
        <v>0</v>
      </c>
      <c r="AV187">
        <v>1</v>
      </c>
      <c r="AW187">
        <v>29</v>
      </c>
      <c r="AY187">
        <v>3</v>
      </c>
      <c r="AZ187">
        <v>17</v>
      </c>
      <c r="BA187">
        <v>0</v>
      </c>
      <c r="BB187">
        <v>2</v>
      </c>
      <c r="BC187">
        <v>23</v>
      </c>
      <c r="BE187">
        <v>5</v>
      </c>
      <c r="BF187">
        <v>25</v>
      </c>
      <c r="BG187">
        <v>0</v>
      </c>
      <c r="BH187">
        <v>3</v>
      </c>
      <c r="BI187">
        <v>19</v>
      </c>
      <c r="BK187">
        <v>1</v>
      </c>
      <c r="BL187">
        <v>5</v>
      </c>
      <c r="BM187">
        <v>0</v>
      </c>
      <c r="BN187">
        <v>1</v>
      </c>
      <c r="BO187">
        <v>29</v>
      </c>
    </row>
    <row r="188" spans="3:67">
      <c r="C188">
        <v>10</v>
      </c>
      <c r="D188">
        <v>44</v>
      </c>
      <c r="E188">
        <v>57</v>
      </c>
      <c r="F188">
        <v>72</v>
      </c>
      <c r="G188">
        <v>91</v>
      </c>
      <c r="H188">
        <v>104</v>
      </c>
      <c r="I188">
        <v>104</v>
      </c>
      <c r="J188">
        <v>100</v>
      </c>
      <c r="K188">
        <v>98</v>
      </c>
      <c r="L188">
        <v>92</v>
      </c>
      <c r="M188">
        <v>82</v>
      </c>
      <c r="N188">
        <v>66</v>
      </c>
      <c r="O188">
        <v>49</v>
      </c>
      <c r="W188">
        <v>11</v>
      </c>
      <c r="X188">
        <v>3</v>
      </c>
      <c r="Z188">
        <v>4</v>
      </c>
      <c r="AA188">
        <v>6</v>
      </c>
      <c r="AB188">
        <v>17</v>
      </c>
      <c r="AG188">
        <v>7</v>
      </c>
      <c r="AH188">
        <v>67.12</v>
      </c>
      <c r="AI188">
        <v>100</v>
      </c>
      <c r="AL188">
        <v>6</v>
      </c>
      <c r="AM188">
        <v>5</v>
      </c>
      <c r="AN188">
        <v>10</v>
      </c>
      <c r="AO188">
        <v>0</v>
      </c>
      <c r="AP188">
        <v>3</v>
      </c>
      <c r="AQ188">
        <v>26</v>
      </c>
      <c r="AS188">
        <v>1</v>
      </c>
      <c r="AT188">
        <v>6</v>
      </c>
      <c r="AU188">
        <v>0</v>
      </c>
      <c r="AV188">
        <v>1</v>
      </c>
      <c r="AW188">
        <v>28</v>
      </c>
      <c r="AY188">
        <v>3</v>
      </c>
      <c r="AZ188">
        <v>20</v>
      </c>
      <c r="BA188">
        <v>0</v>
      </c>
      <c r="BB188">
        <v>2</v>
      </c>
      <c r="BC188">
        <v>21</v>
      </c>
      <c r="BE188">
        <v>1</v>
      </c>
      <c r="BF188">
        <v>26</v>
      </c>
      <c r="BG188">
        <v>0</v>
      </c>
      <c r="BH188">
        <v>1</v>
      </c>
      <c r="BI188">
        <v>18</v>
      </c>
      <c r="BK188">
        <v>3</v>
      </c>
      <c r="BL188">
        <v>8</v>
      </c>
      <c r="BM188">
        <v>0</v>
      </c>
      <c r="BN188">
        <v>2</v>
      </c>
      <c r="BO188">
        <v>27</v>
      </c>
    </row>
    <row r="189" spans="3:67">
      <c r="C189">
        <v>11</v>
      </c>
      <c r="D189">
        <v>55</v>
      </c>
      <c r="E189">
        <v>68</v>
      </c>
      <c r="F189">
        <v>83</v>
      </c>
      <c r="G189">
        <v>100</v>
      </c>
      <c r="H189">
        <v>111</v>
      </c>
      <c r="I189">
        <v>111</v>
      </c>
      <c r="J189">
        <v>108</v>
      </c>
      <c r="K189">
        <v>106</v>
      </c>
      <c r="L189">
        <v>100</v>
      </c>
      <c r="M189">
        <v>89</v>
      </c>
      <c r="N189">
        <v>73</v>
      </c>
      <c r="O189">
        <v>57</v>
      </c>
      <c r="W189">
        <v>12</v>
      </c>
      <c r="X189">
        <v>1</v>
      </c>
      <c r="Z189">
        <v>1</v>
      </c>
      <c r="AA189">
        <v>1</v>
      </c>
      <c r="AB189">
        <v>13</v>
      </c>
      <c r="AG189">
        <v>8</v>
      </c>
      <c r="AH189">
        <v>89.2</v>
      </c>
      <c r="AI189">
        <v>100</v>
      </c>
      <c r="AL189">
        <v>7</v>
      </c>
      <c r="AM189">
        <v>5</v>
      </c>
      <c r="AN189">
        <v>15</v>
      </c>
      <c r="AO189">
        <v>0</v>
      </c>
      <c r="AP189">
        <v>3</v>
      </c>
      <c r="AQ189">
        <v>23</v>
      </c>
      <c r="AS189">
        <v>1</v>
      </c>
      <c r="AT189">
        <v>7</v>
      </c>
      <c r="AU189">
        <v>0</v>
      </c>
      <c r="AV189">
        <v>1</v>
      </c>
      <c r="AW189">
        <v>27</v>
      </c>
      <c r="AY189">
        <v>3</v>
      </c>
      <c r="AZ189">
        <v>23</v>
      </c>
      <c r="BA189">
        <v>0</v>
      </c>
      <c r="BB189">
        <v>2</v>
      </c>
      <c r="BC189">
        <v>19</v>
      </c>
      <c r="BE189">
        <v>1</v>
      </c>
      <c r="BF189">
        <v>27</v>
      </c>
      <c r="BG189">
        <v>0</v>
      </c>
      <c r="BH189">
        <v>1</v>
      </c>
      <c r="BI189">
        <v>17</v>
      </c>
      <c r="BK189">
        <v>3</v>
      </c>
      <c r="BL189">
        <v>11</v>
      </c>
      <c r="BM189">
        <v>0</v>
      </c>
      <c r="BN189">
        <v>2</v>
      </c>
      <c r="BO189">
        <v>25</v>
      </c>
    </row>
    <row r="190" spans="3:67">
      <c r="C190">
        <v>12</v>
      </c>
      <c r="D190">
        <v>55</v>
      </c>
      <c r="E190">
        <v>70</v>
      </c>
      <c r="F190">
        <v>85</v>
      </c>
      <c r="G190">
        <v>101</v>
      </c>
      <c r="H190">
        <v>111</v>
      </c>
      <c r="I190">
        <v>111</v>
      </c>
      <c r="J190">
        <v>108</v>
      </c>
      <c r="K190">
        <v>107</v>
      </c>
      <c r="L190">
        <v>100</v>
      </c>
      <c r="M190">
        <v>87</v>
      </c>
      <c r="N190">
        <v>70</v>
      </c>
      <c r="O190">
        <v>55</v>
      </c>
      <c r="W190">
        <v>13</v>
      </c>
      <c r="X190">
        <v>1</v>
      </c>
      <c r="Z190">
        <v>1</v>
      </c>
      <c r="AA190">
        <v>1</v>
      </c>
      <c r="AB190">
        <v>12</v>
      </c>
      <c r="AG190">
        <v>9</v>
      </c>
      <c r="AH190">
        <v>95.27</v>
      </c>
      <c r="AI190">
        <v>100</v>
      </c>
      <c r="AL190">
        <v>8</v>
      </c>
      <c r="AM190">
        <v>1</v>
      </c>
      <c r="AN190">
        <v>16</v>
      </c>
      <c r="AO190">
        <v>0</v>
      </c>
      <c r="AP190">
        <v>1</v>
      </c>
      <c r="AQ190">
        <v>22</v>
      </c>
      <c r="AS190">
        <v>5</v>
      </c>
      <c r="AT190">
        <v>12</v>
      </c>
      <c r="AU190">
        <v>0</v>
      </c>
      <c r="AV190">
        <v>3</v>
      </c>
      <c r="AW190">
        <v>24</v>
      </c>
      <c r="AY190">
        <v>3</v>
      </c>
      <c r="AZ190">
        <v>26</v>
      </c>
      <c r="BA190">
        <v>0</v>
      </c>
      <c r="BB190">
        <v>2</v>
      </c>
      <c r="BC190">
        <v>17</v>
      </c>
      <c r="BE190">
        <v>1</v>
      </c>
      <c r="BF190">
        <v>28</v>
      </c>
      <c r="BG190">
        <v>0</v>
      </c>
      <c r="BH190">
        <v>1</v>
      </c>
      <c r="BI190">
        <v>16</v>
      </c>
      <c r="BK190">
        <v>3</v>
      </c>
      <c r="BL190">
        <v>14</v>
      </c>
      <c r="BM190">
        <v>0</v>
      </c>
      <c r="BN190">
        <v>2</v>
      </c>
      <c r="BO190">
        <v>23</v>
      </c>
    </row>
    <row r="191" spans="3:67">
      <c r="C191">
        <v>13</v>
      </c>
      <c r="D191">
        <v>46</v>
      </c>
      <c r="E191">
        <v>63</v>
      </c>
      <c r="F191">
        <v>78</v>
      </c>
      <c r="G191">
        <v>93</v>
      </c>
      <c r="H191">
        <v>103</v>
      </c>
      <c r="I191">
        <v>104</v>
      </c>
      <c r="J191">
        <v>102</v>
      </c>
      <c r="K191">
        <v>100</v>
      </c>
      <c r="L191">
        <v>92</v>
      </c>
      <c r="M191">
        <v>78</v>
      </c>
      <c r="N191">
        <v>59</v>
      </c>
      <c r="O191">
        <v>44</v>
      </c>
      <c r="W191">
        <v>14</v>
      </c>
      <c r="X191">
        <v>1</v>
      </c>
      <c r="Z191">
        <v>1</v>
      </c>
      <c r="AA191">
        <v>1</v>
      </c>
      <c r="AB191">
        <v>11</v>
      </c>
      <c r="AG191">
        <v>10</v>
      </c>
      <c r="AH191">
        <v>95.11</v>
      </c>
      <c r="AI191">
        <v>100</v>
      </c>
      <c r="AL191">
        <v>9</v>
      </c>
      <c r="AM191">
        <v>1</v>
      </c>
      <c r="AN191">
        <v>17</v>
      </c>
      <c r="AO191">
        <v>0</v>
      </c>
      <c r="AP191">
        <v>1</v>
      </c>
      <c r="AQ191">
        <v>21</v>
      </c>
      <c r="AS191">
        <v>5</v>
      </c>
      <c r="AT191">
        <v>17</v>
      </c>
      <c r="AU191">
        <v>0</v>
      </c>
      <c r="AV191">
        <v>3</v>
      </c>
      <c r="AW191">
        <v>21</v>
      </c>
      <c r="AY191">
        <v>3</v>
      </c>
      <c r="AZ191">
        <v>29</v>
      </c>
      <c r="BA191">
        <v>0</v>
      </c>
      <c r="BB191">
        <v>2</v>
      </c>
      <c r="BC191">
        <v>15</v>
      </c>
      <c r="BE191">
        <v>1</v>
      </c>
      <c r="BF191">
        <v>29</v>
      </c>
      <c r="BG191">
        <v>0</v>
      </c>
      <c r="BH191">
        <v>1</v>
      </c>
      <c r="BI191">
        <v>15</v>
      </c>
      <c r="BK191">
        <v>3</v>
      </c>
      <c r="BL191">
        <v>17</v>
      </c>
      <c r="BM191">
        <v>0</v>
      </c>
      <c r="BN191">
        <v>2</v>
      </c>
      <c r="BO191">
        <v>21</v>
      </c>
    </row>
    <row r="192" spans="3:67">
      <c r="C192">
        <v>14</v>
      </c>
      <c r="D192">
        <v>28</v>
      </c>
      <c r="E192">
        <v>47</v>
      </c>
      <c r="F192">
        <v>63</v>
      </c>
      <c r="G192">
        <v>78</v>
      </c>
      <c r="H192">
        <v>87</v>
      </c>
      <c r="I192">
        <v>89</v>
      </c>
      <c r="J192">
        <v>89</v>
      </c>
      <c r="K192">
        <v>87</v>
      </c>
      <c r="L192">
        <v>77</v>
      </c>
      <c r="M192">
        <v>60</v>
      </c>
      <c r="N192">
        <v>40</v>
      </c>
      <c r="O192">
        <v>24</v>
      </c>
      <c r="W192">
        <v>15</v>
      </c>
      <c r="X192">
        <v>1</v>
      </c>
      <c r="Z192">
        <v>1</v>
      </c>
      <c r="AA192">
        <v>1</v>
      </c>
      <c r="AB192">
        <v>10</v>
      </c>
      <c r="AG192">
        <v>11</v>
      </c>
      <c r="AH192">
        <v>95.4</v>
      </c>
      <c r="AI192">
        <v>100</v>
      </c>
      <c r="AL192">
        <v>10</v>
      </c>
      <c r="AM192">
        <v>1</v>
      </c>
      <c r="AN192">
        <v>18</v>
      </c>
      <c r="AO192">
        <v>0</v>
      </c>
      <c r="AP192">
        <v>1</v>
      </c>
      <c r="AQ192">
        <v>20</v>
      </c>
      <c r="AS192">
        <v>6</v>
      </c>
      <c r="AT192">
        <v>23</v>
      </c>
      <c r="AU192">
        <v>0</v>
      </c>
      <c r="AV192">
        <v>4</v>
      </c>
      <c r="AW192">
        <v>17</v>
      </c>
      <c r="AY192">
        <v>1</v>
      </c>
      <c r="AZ192">
        <v>30</v>
      </c>
      <c r="BA192">
        <v>0</v>
      </c>
      <c r="BB192">
        <v>1</v>
      </c>
      <c r="BC192">
        <v>14</v>
      </c>
      <c r="BE192">
        <v>1</v>
      </c>
      <c r="BF192">
        <v>30</v>
      </c>
      <c r="BG192">
        <v>0</v>
      </c>
      <c r="BH192">
        <v>1</v>
      </c>
      <c r="BI192">
        <v>14</v>
      </c>
      <c r="BK192">
        <v>3</v>
      </c>
      <c r="BL192">
        <v>20</v>
      </c>
      <c r="BM192">
        <v>0</v>
      </c>
      <c r="BN192">
        <v>2</v>
      </c>
      <c r="BO192">
        <v>19</v>
      </c>
    </row>
    <row r="193" spans="3:67">
      <c r="C193">
        <v>15</v>
      </c>
      <c r="D193">
        <v>6</v>
      </c>
      <c r="E193">
        <v>24</v>
      </c>
      <c r="F193">
        <v>41</v>
      </c>
      <c r="G193">
        <v>56</v>
      </c>
      <c r="H193">
        <v>66</v>
      </c>
      <c r="I193">
        <v>70</v>
      </c>
      <c r="J193">
        <v>70</v>
      </c>
      <c r="K193">
        <v>68</v>
      </c>
      <c r="L193">
        <v>56</v>
      </c>
      <c r="M193">
        <v>37</v>
      </c>
      <c r="N193">
        <v>15</v>
      </c>
      <c r="O193">
        <v>4</v>
      </c>
      <c r="W193">
        <v>16</v>
      </c>
      <c r="X193">
        <v>1</v>
      </c>
      <c r="Z193">
        <v>1</v>
      </c>
      <c r="AA193">
        <v>1</v>
      </c>
      <c r="AB193">
        <v>10</v>
      </c>
      <c r="AG193">
        <v>12</v>
      </c>
      <c r="AH193">
        <v>95.68</v>
      </c>
      <c r="AI193">
        <v>100</v>
      </c>
      <c r="AL193">
        <v>11</v>
      </c>
      <c r="AM193">
        <v>1</v>
      </c>
      <c r="AN193">
        <v>19</v>
      </c>
      <c r="AO193">
        <v>0</v>
      </c>
      <c r="AP193">
        <v>1</v>
      </c>
      <c r="AQ193">
        <v>19</v>
      </c>
      <c r="AS193">
        <v>1</v>
      </c>
      <c r="AT193">
        <v>24</v>
      </c>
      <c r="AU193">
        <v>0</v>
      </c>
      <c r="AV193">
        <v>1</v>
      </c>
      <c r="AW193">
        <v>16</v>
      </c>
      <c r="AY193">
        <v>1</v>
      </c>
      <c r="AZ193">
        <v>31</v>
      </c>
      <c r="BA193">
        <v>0</v>
      </c>
      <c r="BB193">
        <v>1</v>
      </c>
      <c r="BC193">
        <v>13</v>
      </c>
      <c r="BE193">
        <v>1</v>
      </c>
      <c r="BF193">
        <v>31</v>
      </c>
      <c r="BG193">
        <v>0</v>
      </c>
      <c r="BH193">
        <v>1</v>
      </c>
      <c r="BI193">
        <v>13</v>
      </c>
      <c r="BK193">
        <v>3</v>
      </c>
      <c r="BL193">
        <v>23</v>
      </c>
      <c r="BM193">
        <v>0</v>
      </c>
      <c r="BN193">
        <v>2</v>
      </c>
      <c r="BO193">
        <v>17</v>
      </c>
    </row>
    <row r="194" spans="3:67">
      <c r="C194">
        <v>16</v>
      </c>
      <c r="D194">
        <v>0</v>
      </c>
      <c r="E194">
        <v>3</v>
      </c>
      <c r="F194">
        <v>16</v>
      </c>
      <c r="G194">
        <v>32</v>
      </c>
      <c r="H194">
        <v>42</v>
      </c>
      <c r="I194">
        <v>48</v>
      </c>
      <c r="J194">
        <v>49</v>
      </c>
      <c r="K194">
        <v>45</v>
      </c>
      <c r="L194">
        <v>32</v>
      </c>
      <c r="M194">
        <v>13</v>
      </c>
      <c r="N194">
        <v>1</v>
      </c>
      <c r="O194">
        <v>0</v>
      </c>
      <c r="W194">
        <v>17</v>
      </c>
      <c r="X194">
        <v>1</v>
      </c>
      <c r="Z194">
        <v>1</v>
      </c>
      <c r="AA194">
        <v>1</v>
      </c>
      <c r="AB194">
        <v>12</v>
      </c>
      <c r="AG194">
        <v>13</v>
      </c>
      <c r="AH194">
        <v>95.56</v>
      </c>
      <c r="AI194">
        <v>100</v>
      </c>
      <c r="AL194">
        <v>12</v>
      </c>
      <c r="AM194">
        <v>7</v>
      </c>
      <c r="AN194">
        <v>26</v>
      </c>
      <c r="AO194">
        <v>0</v>
      </c>
      <c r="AP194">
        <v>5</v>
      </c>
      <c r="AQ194">
        <v>14</v>
      </c>
      <c r="AS194">
        <v>1</v>
      </c>
      <c r="AT194">
        <v>25</v>
      </c>
      <c r="AU194">
        <v>0</v>
      </c>
      <c r="AV194">
        <v>1</v>
      </c>
      <c r="AW194">
        <v>15</v>
      </c>
      <c r="AY194">
        <v>1</v>
      </c>
      <c r="AZ194">
        <v>32</v>
      </c>
      <c r="BA194">
        <v>0</v>
      </c>
      <c r="BB194">
        <v>1</v>
      </c>
      <c r="BC194">
        <v>12</v>
      </c>
      <c r="BE194">
        <v>1</v>
      </c>
      <c r="BF194">
        <v>32</v>
      </c>
      <c r="BG194">
        <v>0</v>
      </c>
      <c r="BH194">
        <v>1</v>
      </c>
      <c r="BI194">
        <v>12</v>
      </c>
      <c r="BK194">
        <v>3</v>
      </c>
      <c r="BL194">
        <v>26</v>
      </c>
      <c r="BM194">
        <v>0</v>
      </c>
      <c r="BN194">
        <v>2</v>
      </c>
      <c r="BO194">
        <v>15</v>
      </c>
    </row>
    <row r="195" spans="3:67">
      <c r="C195">
        <v>17</v>
      </c>
      <c r="D195">
        <v>0</v>
      </c>
      <c r="E195">
        <v>0</v>
      </c>
      <c r="F195">
        <v>1</v>
      </c>
      <c r="G195">
        <v>9</v>
      </c>
      <c r="H195">
        <v>19</v>
      </c>
      <c r="I195">
        <v>25</v>
      </c>
      <c r="J195">
        <v>27</v>
      </c>
      <c r="K195">
        <v>23</v>
      </c>
      <c r="L195">
        <v>11</v>
      </c>
      <c r="M195">
        <v>1</v>
      </c>
      <c r="N195">
        <v>0</v>
      </c>
      <c r="O195">
        <v>0</v>
      </c>
      <c r="W195">
        <v>18</v>
      </c>
      <c r="X195">
        <v>5</v>
      </c>
      <c r="Z195">
        <v>9</v>
      </c>
      <c r="AA195">
        <v>13</v>
      </c>
      <c r="AB195">
        <v>16</v>
      </c>
      <c r="AG195">
        <v>14</v>
      </c>
      <c r="AH195">
        <v>95.46</v>
      </c>
      <c r="AI195">
        <v>100</v>
      </c>
      <c r="AL195">
        <v>13</v>
      </c>
      <c r="AM195">
        <v>1</v>
      </c>
      <c r="AN195">
        <v>27</v>
      </c>
      <c r="AO195">
        <v>0</v>
      </c>
      <c r="AP195">
        <v>1</v>
      </c>
      <c r="AQ195">
        <v>13</v>
      </c>
      <c r="AS195">
        <v>5</v>
      </c>
      <c r="AT195">
        <v>30</v>
      </c>
      <c r="AU195">
        <v>0</v>
      </c>
      <c r="AV195">
        <v>3</v>
      </c>
      <c r="AW195">
        <v>12</v>
      </c>
      <c r="AY195">
        <v>1</v>
      </c>
      <c r="AZ195">
        <v>33</v>
      </c>
      <c r="BA195">
        <v>0</v>
      </c>
      <c r="BB195">
        <v>1</v>
      </c>
      <c r="BC195">
        <v>11</v>
      </c>
      <c r="BE195">
        <v>1</v>
      </c>
      <c r="BF195">
        <v>33</v>
      </c>
      <c r="BG195">
        <v>0</v>
      </c>
      <c r="BH195">
        <v>1</v>
      </c>
      <c r="BI195">
        <v>11</v>
      </c>
      <c r="BK195">
        <v>3</v>
      </c>
      <c r="BL195">
        <v>29</v>
      </c>
      <c r="BM195">
        <v>0</v>
      </c>
      <c r="BN195">
        <v>2</v>
      </c>
      <c r="BO195">
        <v>13</v>
      </c>
    </row>
    <row r="196" spans="3:67">
      <c r="C196">
        <v>18</v>
      </c>
      <c r="D196">
        <v>0</v>
      </c>
      <c r="E196">
        <v>0</v>
      </c>
      <c r="F196">
        <v>0</v>
      </c>
      <c r="G196">
        <v>0</v>
      </c>
      <c r="H196">
        <v>4</v>
      </c>
      <c r="I196">
        <v>8</v>
      </c>
      <c r="J196">
        <v>10</v>
      </c>
      <c r="K196">
        <v>6</v>
      </c>
      <c r="L196">
        <v>1</v>
      </c>
      <c r="M196">
        <v>0</v>
      </c>
      <c r="N196">
        <v>0</v>
      </c>
      <c r="O196">
        <v>0</v>
      </c>
      <c r="W196">
        <v>19</v>
      </c>
      <c r="X196">
        <v>4</v>
      </c>
      <c r="Z196">
        <v>6</v>
      </c>
      <c r="AA196">
        <v>9</v>
      </c>
      <c r="AB196">
        <v>14</v>
      </c>
      <c r="AG196">
        <v>15</v>
      </c>
      <c r="AH196">
        <v>95.7</v>
      </c>
      <c r="AI196">
        <v>100</v>
      </c>
      <c r="AL196">
        <v>14</v>
      </c>
      <c r="AM196">
        <v>1</v>
      </c>
      <c r="AN196">
        <v>28</v>
      </c>
      <c r="AO196">
        <v>0</v>
      </c>
      <c r="AP196">
        <v>1</v>
      </c>
      <c r="AQ196">
        <v>12</v>
      </c>
      <c r="AS196">
        <v>1</v>
      </c>
      <c r="AT196">
        <v>31</v>
      </c>
      <c r="AU196">
        <v>0</v>
      </c>
      <c r="AV196">
        <v>1</v>
      </c>
      <c r="AW196">
        <v>11</v>
      </c>
      <c r="AY196">
        <v>1</v>
      </c>
      <c r="AZ196">
        <v>34</v>
      </c>
      <c r="BA196">
        <v>0</v>
      </c>
      <c r="BB196">
        <v>1</v>
      </c>
      <c r="BC196">
        <v>10</v>
      </c>
      <c r="BE196">
        <v>1</v>
      </c>
      <c r="BF196">
        <v>34</v>
      </c>
      <c r="BG196">
        <v>0</v>
      </c>
      <c r="BH196">
        <v>1</v>
      </c>
      <c r="BI196">
        <v>10</v>
      </c>
      <c r="BK196">
        <v>3</v>
      </c>
      <c r="BL196">
        <v>32</v>
      </c>
      <c r="BM196">
        <v>0</v>
      </c>
      <c r="BN196">
        <v>2</v>
      </c>
      <c r="BO196">
        <v>11</v>
      </c>
    </row>
    <row r="197" spans="3:67">
      <c r="C197">
        <v>19</v>
      </c>
      <c r="D197">
        <v>0</v>
      </c>
      <c r="E197">
        <v>0</v>
      </c>
      <c r="F197">
        <v>0</v>
      </c>
      <c r="G197">
        <v>0</v>
      </c>
      <c r="H197">
        <v>0</v>
      </c>
      <c r="I197">
        <v>1</v>
      </c>
      <c r="J197">
        <v>2</v>
      </c>
      <c r="K197">
        <v>0</v>
      </c>
      <c r="L197">
        <v>0</v>
      </c>
      <c r="M197">
        <v>0</v>
      </c>
      <c r="N197">
        <v>0</v>
      </c>
      <c r="O197">
        <v>0</v>
      </c>
      <c r="W197">
        <v>20</v>
      </c>
      <c r="X197">
        <v>1</v>
      </c>
      <c r="Z197">
        <v>1</v>
      </c>
      <c r="AA197">
        <v>1</v>
      </c>
      <c r="AB197">
        <v>17</v>
      </c>
      <c r="AG197">
        <v>16</v>
      </c>
      <c r="AH197">
        <v>95.7</v>
      </c>
      <c r="AI197">
        <v>100</v>
      </c>
      <c r="AL197">
        <v>15</v>
      </c>
      <c r="AM197">
        <v>5</v>
      </c>
      <c r="AN197">
        <v>33</v>
      </c>
      <c r="AO197">
        <v>1</v>
      </c>
      <c r="AP197">
        <v>3</v>
      </c>
      <c r="AQ197">
        <v>10</v>
      </c>
      <c r="AS197">
        <v>3</v>
      </c>
      <c r="AT197">
        <v>34</v>
      </c>
      <c r="AU197">
        <v>1</v>
      </c>
      <c r="AV197">
        <v>2</v>
      </c>
      <c r="AW197">
        <v>10</v>
      </c>
      <c r="AY197">
        <v>1</v>
      </c>
      <c r="AZ197">
        <v>35</v>
      </c>
      <c r="BA197">
        <v>1</v>
      </c>
      <c r="BB197">
        <v>1</v>
      </c>
      <c r="BC197">
        <v>10</v>
      </c>
      <c r="BE197">
        <v>1</v>
      </c>
      <c r="BF197">
        <v>35</v>
      </c>
      <c r="BG197">
        <v>1</v>
      </c>
      <c r="BH197">
        <v>1</v>
      </c>
      <c r="BI197">
        <v>10</v>
      </c>
      <c r="BK197">
        <v>3</v>
      </c>
      <c r="BL197">
        <v>35</v>
      </c>
      <c r="BM197">
        <v>1</v>
      </c>
      <c r="BN197">
        <v>2</v>
      </c>
      <c r="BO197">
        <v>10</v>
      </c>
    </row>
    <row r="198" spans="3:67">
      <c r="C198">
        <v>20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W198">
        <v>21</v>
      </c>
      <c r="X198">
        <v>1</v>
      </c>
      <c r="Z198">
        <v>1</v>
      </c>
      <c r="AA198">
        <v>1</v>
      </c>
      <c r="AB198">
        <v>26</v>
      </c>
      <c r="AG198">
        <v>17</v>
      </c>
      <c r="AH198">
        <v>95.65</v>
      </c>
      <c r="AI198">
        <v>100</v>
      </c>
      <c r="AL198">
        <v>16</v>
      </c>
      <c r="AM198">
        <v>5</v>
      </c>
      <c r="AN198">
        <v>38</v>
      </c>
      <c r="AO198">
        <v>3</v>
      </c>
      <c r="AP198">
        <v>3</v>
      </c>
      <c r="AQ198">
        <v>10</v>
      </c>
      <c r="AS198">
        <v>3</v>
      </c>
      <c r="AT198">
        <v>37</v>
      </c>
      <c r="AU198">
        <v>3</v>
      </c>
      <c r="AV198">
        <v>2</v>
      </c>
      <c r="AW198">
        <v>11</v>
      </c>
      <c r="AY198">
        <v>3</v>
      </c>
      <c r="AZ198">
        <v>38</v>
      </c>
      <c r="BA198">
        <v>3</v>
      </c>
      <c r="BB198">
        <v>2</v>
      </c>
      <c r="BC198">
        <v>11</v>
      </c>
      <c r="BE198">
        <v>5</v>
      </c>
      <c r="BF198">
        <v>40</v>
      </c>
      <c r="BG198">
        <v>3</v>
      </c>
      <c r="BH198">
        <v>3</v>
      </c>
      <c r="BI198">
        <v>10</v>
      </c>
      <c r="BK198">
        <v>3</v>
      </c>
      <c r="BL198">
        <v>38</v>
      </c>
      <c r="BM198">
        <v>3</v>
      </c>
      <c r="BN198">
        <v>2</v>
      </c>
      <c r="BO198">
        <v>11</v>
      </c>
    </row>
    <row r="199" spans="3:67">
      <c r="C199">
        <v>21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W199">
        <v>22</v>
      </c>
      <c r="X199">
        <v>6</v>
      </c>
      <c r="Z199">
        <v>12</v>
      </c>
      <c r="AA199">
        <v>18</v>
      </c>
      <c r="AB199">
        <v>35</v>
      </c>
      <c r="AG199">
        <v>18</v>
      </c>
      <c r="AH199">
        <v>95.86</v>
      </c>
      <c r="AI199">
        <v>100</v>
      </c>
      <c r="AL199">
        <v>17</v>
      </c>
      <c r="AM199">
        <v>5</v>
      </c>
      <c r="AN199">
        <v>43</v>
      </c>
      <c r="AO199">
        <v>5</v>
      </c>
      <c r="AP199">
        <v>3</v>
      </c>
      <c r="AQ199">
        <v>12</v>
      </c>
      <c r="AS199">
        <v>1</v>
      </c>
      <c r="AT199">
        <v>38</v>
      </c>
      <c r="AU199">
        <v>5</v>
      </c>
      <c r="AV199">
        <v>1</v>
      </c>
      <c r="AW199">
        <v>15</v>
      </c>
      <c r="AY199">
        <v>3</v>
      </c>
      <c r="AZ199">
        <v>41</v>
      </c>
      <c r="BA199">
        <v>5</v>
      </c>
      <c r="BB199">
        <v>2</v>
      </c>
      <c r="BC199">
        <v>14</v>
      </c>
      <c r="BE199">
        <v>6</v>
      </c>
      <c r="BF199">
        <v>46</v>
      </c>
      <c r="BG199">
        <v>5</v>
      </c>
      <c r="BH199">
        <v>4</v>
      </c>
      <c r="BI199">
        <v>11</v>
      </c>
      <c r="BK199">
        <v>3</v>
      </c>
      <c r="BL199">
        <v>41</v>
      </c>
      <c r="BM199">
        <v>5</v>
      </c>
      <c r="BN199">
        <v>2</v>
      </c>
      <c r="BO199">
        <v>14</v>
      </c>
    </row>
    <row r="200" spans="3:67">
      <c r="C200">
        <v>22</v>
      </c>
      <c r="D200">
        <v>0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W200">
        <v>23</v>
      </c>
      <c r="X200">
        <v>4</v>
      </c>
      <c r="Z200">
        <v>6</v>
      </c>
      <c r="AA200">
        <v>9</v>
      </c>
      <c r="AB200">
        <v>32</v>
      </c>
      <c r="AG200">
        <v>19</v>
      </c>
      <c r="AH200">
        <v>95.41</v>
      </c>
      <c r="AI200">
        <v>100</v>
      </c>
      <c r="AL200">
        <v>18</v>
      </c>
      <c r="AM200">
        <v>6</v>
      </c>
      <c r="AN200">
        <v>49</v>
      </c>
      <c r="AO200">
        <v>7</v>
      </c>
      <c r="AP200">
        <v>4</v>
      </c>
      <c r="AQ200">
        <v>15</v>
      </c>
      <c r="AS200">
        <v>10</v>
      </c>
      <c r="AT200">
        <v>48</v>
      </c>
      <c r="AU200">
        <v>7</v>
      </c>
      <c r="AV200">
        <v>8</v>
      </c>
      <c r="AW200">
        <v>14</v>
      </c>
      <c r="AY200">
        <v>3</v>
      </c>
      <c r="AZ200">
        <v>44</v>
      </c>
      <c r="BA200">
        <v>7</v>
      </c>
      <c r="BB200">
        <v>2</v>
      </c>
      <c r="BC200">
        <v>19</v>
      </c>
      <c r="BE200">
        <v>6</v>
      </c>
      <c r="BF200">
        <v>52</v>
      </c>
      <c r="BG200">
        <v>7</v>
      </c>
      <c r="BH200">
        <v>4</v>
      </c>
      <c r="BI200">
        <v>14</v>
      </c>
      <c r="BK200">
        <v>10</v>
      </c>
      <c r="BL200">
        <v>51</v>
      </c>
      <c r="BM200">
        <v>7</v>
      </c>
      <c r="BN200">
        <v>8</v>
      </c>
      <c r="BO200">
        <v>13</v>
      </c>
    </row>
    <row r="201" spans="3:67">
      <c r="C201">
        <v>23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W201">
        <v>24</v>
      </c>
      <c r="X201">
        <v>5</v>
      </c>
      <c r="Z201">
        <v>9</v>
      </c>
      <c r="AA201">
        <v>13</v>
      </c>
      <c r="AB201">
        <v>34</v>
      </c>
      <c r="AG201">
        <v>20</v>
      </c>
      <c r="AH201">
        <v>96.01</v>
      </c>
      <c r="AI201">
        <v>100</v>
      </c>
      <c r="AL201">
        <v>19</v>
      </c>
      <c r="AM201">
        <v>10</v>
      </c>
      <c r="AN201">
        <v>59</v>
      </c>
      <c r="AO201">
        <v>9</v>
      </c>
      <c r="AP201">
        <v>8</v>
      </c>
      <c r="AQ201">
        <v>16</v>
      </c>
      <c r="AS201">
        <v>5</v>
      </c>
      <c r="AT201">
        <v>53</v>
      </c>
      <c r="AU201">
        <v>9</v>
      </c>
      <c r="AV201">
        <v>3</v>
      </c>
      <c r="AW201">
        <v>20</v>
      </c>
      <c r="AY201">
        <v>3</v>
      </c>
      <c r="AZ201">
        <v>47</v>
      </c>
      <c r="BA201">
        <v>9</v>
      </c>
      <c r="BB201">
        <v>2</v>
      </c>
      <c r="BC201">
        <v>26</v>
      </c>
      <c r="BE201">
        <v>6</v>
      </c>
      <c r="BF201">
        <v>58</v>
      </c>
      <c r="BG201">
        <v>9</v>
      </c>
      <c r="BH201">
        <v>4</v>
      </c>
      <c r="BI201">
        <v>19</v>
      </c>
      <c r="BK201">
        <v>10</v>
      </c>
      <c r="BL201">
        <v>61</v>
      </c>
      <c r="BM201">
        <v>9</v>
      </c>
      <c r="BN201">
        <v>8</v>
      </c>
      <c r="BO201">
        <v>14</v>
      </c>
    </row>
    <row r="202" spans="3:67">
      <c r="AA202">
        <f>SUM(AA178:AA201)</f>
        <v>98</v>
      </c>
      <c r="AB202">
        <v>31</v>
      </c>
      <c r="AG202">
        <v>21</v>
      </c>
      <c r="AH202">
        <v>95.84</v>
      </c>
      <c r="AI202">
        <v>100</v>
      </c>
      <c r="AL202">
        <v>20</v>
      </c>
      <c r="AM202">
        <v>10</v>
      </c>
      <c r="AN202">
        <v>69</v>
      </c>
      <c r="AO202">
        <v>10</v>
      </c>
      <c r="AP202">
        <v>8</v>
      </c>
      <c r="AQ202">
        <v>18</v>
      </c>
      <c r="AS202">
        <v>6</v>
      </c>
      <c r="AT202">
        <v>59</v>
      </c>
      <c r="AU202">
        <v>10</v>
      </c>
      <c r="AV202">
        <v>4</v>
      </c>
      <c r="AW202">
        <v>26</v>
      </c>
      <c r="AY202">
        <v>7</v>
      </c>
      <c r="AZ202">
        <v>54</v>
      </c>
      <c r="BA202">
        <v>10</v>
      </c>
      <c r="BB202">
        <v>5</v>
      </c>
      <c r="BC202">
        <v>31</v>
      </c>
      <c r="BE202">
        <v>6</v>
      </c>
      <c r="BF202">
        <v>64</v>
      </c>
      <c r="BG202">
        <v>10</v>
      </c>
      <c r="BH202">
        <v>4</v>
      </c>
      <c r="BI202">
        <v>25</v>
      </c>
      <c r="BK202">
        <v>7</v>
      </c>
      <c r="BL202">
        <v>68</v>
      </c>
      <c r="BM202">
        <v>10</v>
      </c>
      <c r="BN202">
        <v>5</v>
      </c>
      <c r="BO202">
        <v>19</v>
      </c>
    </row>
    <row r="203" spans="3:67">
      <c r="AG203">
        <v>22</v>
      </c>
      <c r="AH203">
        <v>95.88</v>
      </c>
      <c r="AI203">
        <v>100</v>
      </c>
      <c r="AL203">
        <v>21</v>
      </c>
      <c r="AM203">
        <v>6</v>
      </c>
      <c r="AN203">
        <v>75</v>
      </c>
      <c r="AO203">
        <v>10</v>
      </c>
      <c r="AP203">
        <v>4</v>
      </c>
      <c r="AQ203">
        <v>24</v>
      </c>
      <c r="AS203">
        <v>7</v>
      </c>
      <c r="AT203">
        <v>66</v>
      </c>
      <c r="AU203">
        <v>10</v>
      </c>
      <c r="AV203">
        <v>5</v>
      </c>
      <c r="AW203">
        <v>31</v>
      </c>
      <c r="AY203">
        <v>10</v>
      </c>
      <c r="AZ203">
        <v>64</v>
      </c>
      <c r="BA203">
        <v>10</v>
      </c>
      <c r="BB203">
        <v>8</v>
      </c>
      <c r="BC203">
        <v>33</v>
      </c>
      <c r="BE203">
        <v>6</v>
      </c>
      <c r="BF203">
        <v>70</v>
      </c>
      <c r="BG203">
        <v>10</v>
      </c>
      <c r="BH203">
        <v>4</v>
      </c>
      <c r="BI203">
        <v>31</v>
      </c>
      <c r="BK203">
        <v>7</v>
      </c>
      <c r="BL203">
        <v>75</v>
      </c>
      <c r="BM203">
        <v>10</v>
      </c>
      <c r="BN203">
        <v>5</v>
      </c>
      <c r="BO203">
        <v>24</v>
      </c>
    </row>
    <row r="204" spans="3:67">
      <c r="X204" t="s">
        <v>105</v>
      </c>
      <c r="AG204">
        <v>23</v>
      </c>
      <c r="AH204">
        <v>95.51</v>
      </c>
      <c r="AI204">
        <v>100</v>
      </c>
      <c r="AL204">
        <v>22</v>
      </c>
      <c r="AM204">
        <v>1</v>
      </c>
      <c r="AN204">
        <v>76</v>
      </c>
      <c r="AO204">
        <v>9</v>
      </c>
      <c r="AP204">
        <v>1</v>
      </c>
      <c r="AQ204">
        <v>32</v>
      </c>
      <c r="AS204">
        <v>10</v>
      </c>
      <c r="AT204">
        <v>76</v>
      </c>
      <c r="AU204">
        <v>9</v>
      </c>
      <c r="AV204">
        <v>8</v>
      </c>
      <c r="AW204">
        <v>32</v>
      </c>
      <c r="AY204">
        <v>10</v>
      </c>
      <c r="AZ204">
        <v>74</v>
      </c>
      <c r="BA204">
        <v>9</v>
      </c>
      <c r="BB204">
        <v>8</v>
      </c>
      <c r="BC204">
        <v>34</v>
      </c>
      <c r="BE204">
        <v>10</v>
      </c>
      <c r="BF204">
        <v>80</v>
      </c>
      <c r="BG204">
        <v>9</v>
      </c>
      <c r="BH204">
        <v>8</v>
      </c>
      <c r="BI204">
        <v>32</v>
      </c>
      <c r="BK204">
        <v>7</v>
      </c>
      <c r="BL204">
        <v>82</v>
      </c>
      <c r="BM204">
        <v>9</v>
      </c>
      <c r="BN204">
        <v>5</v>
      </c>
      <c r="BO204">
        <v>28</v>
      </c>
    </row>
    <row r="205" spans="3:67">
      <c r="W205">
        <v>1</v>
      </c>
      <c r="X205">
        <v>2</v>
      </c>
      <c r="Y205">
        <v>3</v>
      </c>
      <c r="Z205">
        <v>2</v>
      </c>
      <c r="AA205">
        <v>3</v>
      </c>
      <c r="AB205">
        <v>30</v>
      </c>
      <c r="AG205">
        <v>24</v>
      </c>
      <c r="AH205">
        <v>95.73</v>
      </c>
      <c r="AI205">
        <v>100</v>
      </c>
      <c r="AL205">
        <v>23</v>
      </c>
      <c r="AM205">
        <v>10</v>
      </c>
      <c r="AN205">
        <v>86</v>
      </c>
      <c r="AO205">
        <v>8</v>
      </c>
      <c r="AP205">
        <v>8</v>
      </c>
      <c r="AQ205">
        <v>32</v>
      </c>
      <c r="AS205">
        <v>10</v>
      </c>
      <c r="AT205">
        <v>86</v>
      </c>
      <c r="AU205">
        <v>8</v>
      </c>
      <c r="AV205">
        <v>8</v>
      </c>
      <c r="AW205">
        <v>32</v>
      </c>
      <c r="AY205">
        <v>10</v>
      </c>
      <c r="AZ205">
        <v>84</v>
      </c>
      <c r="BA205">
        <v>8</v>
      </c>
      <c r="BB205">
        <v>8</v>
      </c>
      <c r="BC205">
        <v>34</v>
      </c>
      <c r="BE205">
        <v>10</v>
      </c>
      <c r="BF205">
        <v>90</v>
      </c>
      <c r="BG205">
        <v>8</v>
      </c>
      <c r="BH205">
        <v>8</v>
      </c>
      <c r="BI205">
        <v>32</v>
      </c>
      <c r="BK205">
        <v>7</v>
      </c>
      <c r="BL205">
        <v>89</v>
      </c>
      <c r="BM205">
        <v>8</v>
      </c>
      <c r="BN205">
        <v>5</v>
      </c>
      <c r="BO205">
        <v>31</v>
      </c>
    </row>
    <row r="206" spans="3:67">
      <c r="W206">
        <v>2</v>
      </c>
      <c r="X206">
        <v>2</v>
      </c>
      <c r="Y206">
        <v>1</v>
      </c>
      <c r="Z206">
        <v>2</v>
      </c>
      <c r="AA206">
        <v>3</v>
      </c>
      <c r="AB206">
        <v>31</v>
      </c>
      <c r="AL206">
        <v>24</v>
      </c>
      <c r="AM206">
        <v>5</v>
      </c>
      <c r="AN206">
        <v>91</v>
      </c>
      <c r="AO206">
        <v>6</v>
      </c>
      <c r="AP206">
        <v>3</v>
      </c>
      <c r="AQ206">
        <v>35</v>
      </c>
      <c r="AS206">
        <v>10</v>
      </c>
      <c r="AT206">
        <v>96</v>
      </c>
      <c r="AU206">
        <v>6</v>
      </c>
      <c r="AV206">
        <v>8</v>
      </c>
      <c r="AW206">
        <v>30</v>
      </c>
      <c r="AY206">
        <v>10</v>
      </c>
      <c r="AZ206">
        <v>94</v>
      </c>
      <c r="BA206">
        <v>6</v>
      </c>
      <c r="BB206">
        <v>8</v>
      </c>
      <c r="BC206">
        <v>32</v>
      </c>
      <c r="BE206">
        <v>10</v>
      </c>
      <c r="BF206">
        <v>100</v>
      </c>
      <c r="BG206">
        <v>6</v>
      </c>
      <c r="BH206">
        <v>8</v>
      </c>
      <c r="BI206">
        <v>30</v>
      </c>
      <c r="BK206">
        <v>7</v>
      </c>
      <c r="BL206">
        <v>96</v>
      </c>
      <c r="BM206">
        <v>6</v>
      </c>
      <c r="BN206">
        <v>5</v>
      </c>
      <c r="BO206">
        <v>32</v>
      </c>
    </row>
    <row r="207" spans="3:67">
      <c r="W207">
        <v>3</v>
      </c>
      <c r="X207">
        <v>2</v>
      </c>
      <c r="Y207">
        <v>0</v>
      </c>
      <c r="Z207">
        <v>2</v>
      </c>
      <c r="AA207">
        <v>3</v>
      </c>
      <c r="AB207">
        <v>30</v>
      </c>
    </row>
    <row r="208" spans="3:67">
      <c r="W208">
        <v>4</v>
      </c>
      <c r="X208">
        <v>2</v>
      </c>
      <c r="Y208">
        <v>0</v>
      </c>
      <c r="Z208">
        <v>2</v>
      </c>
      <c r="AA208">
        <v>3</v>
      </c>
      <c r="AB208">
        <v>28</v>
      </c>
      <c r="AF208" t="s">
        <v>147</v>
      </c>
      <c r="AG208">
        <v>1</v>
      </c>
      <c r="AH208" s="1">
        <v>17.2</v>
      </c>
      <c r="AI208">
        <v>120</v>
      </c>
      <c r="AL208">
        <v>0</v>
      </c>
      <c r="AN208">
        <f>AN206</f>
        <v>91</v>
      </c>
      <c r="AQ208">
        <v>35</v>
      </c>
      <c r="AT208">
        <f>AT206</f>
        <v>96</v>
      </c>
      <c r="AZ208">
        <f>AZ206</f>
        <v>94</v>
      </c>
      <c r="BF208">
        <f>BF206</f>
        <v>100</v>
      </c>
      <c r="BL208">
        <f>BL206</f>
        <v>96</v>
      </c>
    </row>
    <row r="209" spans="23:67">
      <c r="W209">
        <v>5</v>
      </c>
      <c r="X209">
        <v>2</v>
      </c>
      <c r="Y209">
        <v>0</v>
      </c>
      <c r="Z209">
        <v>2</v>
      </c>
      <c r="AA209">
        <v>3</v>
      </c>
      <c r="AB209">
        <v>26</v>
      </c>
      <c r="AG209">
        <v>2</v>
      </c>
      <c r="AH209" s="1">
        <v>29.05</v>
      </c>
      <c r="AI209">
        <v>120</v>
      </c>
      <c r="AL209">
        <v>1</v>
      </c>
      <c r="AM209">
        <v>1</v>
      </c>
      <c r="AN209">
        <f>AN208+AM209</f>
        <v>92</v>
      </c>
      <c r="AO209">
        <v>3</v>
      </c>
      <c r="AP209">
        <v>1</v>
      </c>
      <c r="AQ209">
        <v>37</v>
      </c>
      <c r="AS209">
        <v>1</v>
      </c>
      <c r="AT209">
        <f>AT208+AS209</f>
        <v>97</v>
      </c>
      <c r="AU209">
        <v>3</v>
      </c>
      <c r="AV209">
        <v>1</v>
      </c>
      <c r="AW209">
        <v>32</v>
      </c>
      <c r="AY209">
        <v>6</v>
      </c>
      <c r="AZ209">
        <f>AZ208+AY209</f>
        <v>100</v>
      </c>
      <c r="BA209">
        <v>3</v>
      </c>
      <c r="BB209">
        <v>4</v>
      </c>
      <c r="BC209">
        <v>31</v>
      </c>
      <c r="BE209">
        <v>5</v>
      </c>
      <c r="BF209">
        <f>BF208+BE209</f>
        <v>105</v>
      </c>
      <c r="BG209">
        <v>3</v>
      </c>
      <c r="BH209">
        <v>3</v>
      </c>
      <c r="BI209">
        <v>30</v>
      </c>
      <c r="BK209">
        <v>1</v>
      </c>
      <c r="BL209">
        <f>BL208+BK209</f>
        <v>97</v>
      </c>
      <c r="BM209">
        <v>3</v>
      </c>
      <c r="BN209">
        <v>1</v>
      </c>
      <c r="BO209">
        <v>34</v>
      </c>
    </row>
    <row r="210" spans="23:67">
      <c r="W210">
        <v>6</v>
      </c>
      <c r="X210">
        <v>2</v>
      </c>
      <c r="Y210">
        <v>0</v>
      </c>
      <c r="Z210">
        <v>2</v>
      </c>
      <c r="AA210">
        <v>3</v>
      </c>
      <c r="AB210">
        <v>24</v>
      </c>
      <c r="AG210">
        <v>3</v>
      </c>
      <c r="AH210" s="1">
        <v>31.05</v>
      </c>
      <c r="AI210">
        <v>120</v>
      </c>
      <c r="AL210">
        <v>2</v>
      </c>
      <c r="AM210">
        <v>1</v>
      </c>
      <c r="AN210">
        <f>AN209+AM210</f>
        <v>93</v>
      </c>
      <c r="AO210">
        <v>1</v>
      </c>
      <c r="AP210">
        <v>1</v>
      </c>
      <c r="AQ210">
        <v>37</v>
      </c>
      <c r="AS210">
        <v>1</v>
      </c>
      <c r="AT210">
        <f t="shared" ref="AT210:AT232" si="0">AT209+AS210</f>
        <v>98</v>
      </c>
      <c r="AU210">
        <v>1</v>
      </c>
      <c r="AV210">
        <v>1</v>
      </c>
      <c r="AW210">
        <v>32</v>
      </c>
      <c r="AY210">
        <v>5</v>
      </c>
      <c r="AZ210">
        <f t="shared" ref="AZ210:AZ232" si="1">AZ209+AY210</f>
        <v>105</v>
      </c>
      <c r="BA210">
        <v>1</v>
      </c>
      <c r="BB210">
        <v>3</v>
      </c>
      <c r="BC210">
        <v>29</v>
      </c>
      <c r="BE210">
        <v>5</v>
      </c>
      <c r="BF210">
        <f t="shared" ref="BF210:BF232" si="2">BF209+BE210</f>
        <v>110</v>
      </c>
      <c r="BG210">
        <v>1</v>
      </c>
      <c r="BH210">
        <v>3</v>
      </c>
      <c r="BI210">
        <v>28</v>
      </c>
      <c r="BK210">
        <v>1</v>
      </c>
      <c r="BL210">
        <f t="shared" ref="BL210:BL232" si="3">BL209+BK210</f>
        <v>98</v>
      </c>
      <c r="BM210">
        <v>1</v>
      </c>
      <c r="BN210">
        <v>1</v>
      </c>
      <c r="BO210">
        <v>34</v>
      </c>
    </row>
    <row r="211" spans="23:67">
      <c r="W211">
        <v>7</v>
      </c>
      <c r="X211">
        <v>2</v>
      </c>
      <c r="Y211">
        <v>0</v>
      </c>
      <c r="Z211">
        <v>2</v>
      </c>
      <c r="AA211">
        <v>3</v>
      </c>
      <c r="AB211">
        <v>22</v>
      </c>
      <c r="AG211">
        <v>4</v>
      </c>
      <c r="AH211">
        <v>43.61</v>
      </c>
      <c r="AI211">
        <v>120</v>
      </c>
      <c r="AL211">
        <v>3</v>
      </c>
      <c r="AM211">
        <v>1</v>
      </c>
      <c r="AN211">
        <f t="shared" ref="AN211:AN232" si="4">AN210+AM211</f>
        <v>94</v>
      </c>
      <c r="AO211">
        <v>0</v>
      </c>
      <c r="AP211">
        <v>1</v>
      </c>
      <c r="AQ211">
        <v>36</v>
      </c>
      <c r="AS211">
        <v>1</v>
      </c>
      <c r="AT211">
        <f t="shared" si="0"/>
        <v>99</v>
      </c>
      <c r="AU211">
        <v>0</v>
      </c>
      <c r="AV211">
        <v>1</v>
      </c>
      <c r="AW211">
        <v>31</v>
      </c>
      <c r="AY211">
        <v>3</v>
      </c>
      <c r="AZ211">
        <f t="shared" si="1"/>
        <v>108</v>
      </c>
      <c r="BA211">
        <v>0</v>
      </c>
      <c r="BB211">
        <v>2</v>
      </c>
      <c r="BC211">
        <v>27</v>
      </c>
      <c r="BE211">
        <v>5</v>
      </c>
      <c r="BF211">
        <f t="shared" si="2"/>
        <v>115</v>
      </c>
      <c r="BG211">
        <v>0</v>
      </c>
      <c r="BH211">
        <v>3</v>
      </c>
      <c r="BI211">
        <v>25</v>
      </c>
      <c r="BK211">
        <v>1</v>
      </c>
      <c r="BL211">
        <f t="shared" si="3"/>
        <v>99</v>
      </c>
      <c r="BM211">
        <v>0</v>
      </c>
      <c r="BN211">
        <v>1</v>
      </c>
      <c r="BO211">
        <v>33</v>
      </c>
    </row>
    <row r="212" spans="23:67">
      <c r="W212">
        <v>8</v>
      </c>
      <c r="X212">
        <v>2</v>
      </c>
      <c r="Y212">
        <v>0</v>
      </c>
      <c r="Z212">
        <v>2</v>
      </c>
      <c r="AA212">
        <v>3</v>
      </c>
      <c r="AB212">
        <v>20</v>
      </c>
      <c r="AG212">
        <v>5</v>
      </c>
      <c r="AH212">
        <v>50.6</v>
      </c>
      <c r="AI212">
        <v>120</v>
      </c>
      <c r="AL212">
        <v>4</v>
      </c>
      <c r="AM212">
        <v>1</v>
      </c>
      <c r="AN212">
        <f t="shared" si="4"/>
        <v>95</v>
      </c>
      <c r="AO212">
        <v>0</v>
      </c>
      <c r="AP212">
        <v>1</v>
      </c>
      <c r="AQ212">
        <v>35</v>
      </c>
      <c r="AS212">
        <v>1</v>
      </c>
      <c r="AT212">
        <f t="shared" si="0"/>
        <v>100</v>
      </c>
      <c r="AU212">
        <v>0</v>
      </c>
      <c r="AV212">
        <v>1</v>
      </c>
      <c r="AW212">
        <v>30</v>
      </c>
      <c r="AY212">
        <v>3</v>
      </c>
      <c r="AZ212">
        <f t="shared" si="1"/>
        <v>111</v>
      </c>
      <c r="BA212">
        <v>0</v>
      </c>
      <c r="BB212">
        <v>2</v>
      </c>
      <c r="BC212">
        <v>25</v>
      </c>
      <c r="BE212">
        <v>5</v>
      </c>
      <c r="BF212">
        <f t="shared" si="2"/>
        <v>120</v>
      </c>
      <c r="BG212">
        <v>0</v>
      </c>
      <c r="BH212">
        <v>3</v>
      </c>
      <c r="BI212">
        <v>22</v>
      </c>
      <c r="BK212">
        <v>3</v>
      </c>
      <c r="BL212">
        <f t="shared" si="3"/>
        <v>102</v>
      </c>
      <c r="BM212">
        <v>0</v>
      </c>
      <c r="BN212">
        <v>2</v>
      </c>
      <c r="BO212">
        <v>31</v>
      </c>
    </row>
    <row r="213" spans="23:67">
      <c r="W213">
        <v>9</v>
      </c>
      <c r="X213">
        <v>2</v>
      </c>
      <c r="Y213">
        <v>0</v>
      </c>
      <c r="Z213">
        <v>2</v>
      </c>
      <c r="AA213">
        <v>3</v>
      </c>
      <c r="AB213">
        <v>18</v>
      </c>
      <c r="AG213">
        <v>6</v>
      </c>
      <c r="AH213">
        <v>50.3</v>
      </c>
      <c r="AI213">
        <v>120</v>
      </c>
      <c r="AL213">
        <v>5</v>
      </c>
      <c r="AM213">
        <v>1</v>
      </c>
      <c r="AN213">
        <f t="shared" si="4"/>
        <v>96</v>
      </c>
      <c r="AO213">
        <v>0</v>
      </c>
      <c r="AP213">
        <v>1</v>
      </c>
      <c r="AQ213">
        <v>34</v>
      </c>
      <c r="AS213">
        <v>1</v>
      </c>
      <c r="AT213">
        <f t="shared" si="0"/>
        <v>101</v>
      </c>
      <c r="AU213">
        <v>0</v>
      </c>
      <c r="AV213">
        <v>1</v>
      </c>
      <c r="AW213">
        <v>29</v>
      </c>
      <c r="AY213">
        <v>3</v>
      </c>
      <c r="AZ213">
        <f t="shared" si="1"/>
        <v>114</v>
      </c>
      <c r="BA213">
        <v>0</v>
      </c>
      <c r="BB213">
        <v>2</v>
      </c>
      <c r="BC213">
        <v>23</v>
      </c>
      <c r="BE213">
        <v>5</v>
      </c>
      <c r="BF213">
        <f t="shared" si="2"/>
        <v>125</v>
      </c>
      <c r="BG213">
        <v>0</v>
      </c>
      <c r="BH213">
        <v>3</v>
      </c>
      <c r="BI213">
        <v>19</v>
      </c>
      <c r="BK213">
        <v>3</v>
      </c>
      <c r="BL213">
        <f t="shared" si="3"/>
        <v>105</v>
      </c>
      <c r="BM213">
        <v>0</v>
      </c>
      <c r="BN213">
        <v>2</v>
      </c>
      <c r="BO213">
        <v>29</v>
      </c>
    </row>
    <row r="214" spans="23:67">
      <c r="W214">
        <v>10</v>
      </c>
      <c r="X214">
        <v>2</v>
      </c>
      <c r="Y214">
        <v>0</v>
      </c>
      <c r="Z214">
        <v>2</v>
      </c>
      <c r="AA214">
        <v>3</v>
      </c>
      <c r="AB214">
        <v>16</v>
      </c>
      <c r="AG214">
        <v>7</v>
      </c>
      <c r="AH214">
        <v>58.86</v>
      </c>
      <c r="AI214">
        <v>120</v>
      </c>
      <c r="AL214">
        <v>6</v>
      </c>
      <c r="AM214">
        <v>6</v>
      </c>
      <c r="AN214">
        <f t="shared" si="4"/>
        <v>102</v>
      </c>
      <c r="AO214">
        <v>0</v>
      </c>
      <c r="AP214">
        <v>4</v>
      </c>
      <c r="AQ214">
        <v>30</v>
      </c>
      <c r="AS214">
        <v>3</v>
      </c>
      <c r="AT214">
        <f t="shared" si="0"/>
        <v>104</v>
      </c>
      <c r="AU214">
        <v>0</v>
      </c>
      <c r="AV214">
        <v>2</v>
      </c>
      <c r="AW214">
        <v>27</v>
      </c>
      <c r="AY214">
        <v>3</v>
      </c>
      <c r="AZ214">
        <f t="shared" si="1"/>
        <v>117</v>
      </c>
      <c r="BA214">
        <v>0</v>
      </c>
      <c r="BB214">
        <v>2</v>
      </c>
      <c r="BC214">
        <v>21</v>
      </c>
      <c r="BE214">
        <v>1</v>
      </c>
      <c r="BF214">
        <f t="shared" si="2"/>
        <v>126</v>
      </c>
      <c r="BG214">
        <v>0</v>
      </c>
      <c r="BH214">
        <v>1</v>
      </c>
      <c r="BI214">
        <v>18</v>
      </c>
      <c r="BK214">
        <v>3</v>
      </c>
      <c r="BL214">
        <f t="shared" si="3"/>
        <v>108</v>
      </c>
      <c r="BM214">
        <v>0</v>
      </c>
      <c r="BN214">
        <v>2</v>
      </c>
      <c r="BO214">
        <v>27</v>
      </c>
    </row>
    <row r="215" spans="23:67">
      <c r="W215">
        <v>11</v>
      </c>
      <c r="X215">
        <v>1</v>
      </c>
      <c r="Y215">
        <v>0</v>
      </c>
      <c r="Z215">
        <v>1</v>
      </c>
      <c r="AA215">
        <v>1</v>
      </c>
      <c r="AB215">
        <v>14</v>
      </c>
      <c r="AG215">
        <v>8</v>
      </c>
      <c r="AH215">
        <v>63.82</v>
      </c>
      <c r="AI215">
        <v>120</v>
      </c>
      <c r="AL215">
        <v>7</v>
      </c>
      <c r="AM215">
        <v>3</v>
      </c>
      <c r="AN215">
        <f t="shared" si="4"/>
        <v>105</v>
      </c>
      <c r="AO215">
        <v>0</v>
      </c>
      <c r="AP215">
        <v>2</v>
      </c>
      <c r="AQ215">
        <v>28</v>
      </c>
      <c r="AS215">
        <v>5</v>
      </c>
      <c r="AT215">
        <f t="shared" si="0"/>
        <v>109</v>
      </c>
      <c r="AU215">
        <v>0</v>
      </c>
      <c r="AV215">
        <v>3</v>
      </c>
      <c r="AW215">
        <v>24</v>
      </c>
      <c r="AY215">
        <v>3</v>
      </c>
      <c r="AZ215">
        <f t="shared" si="1"/>
        <v>120</v>
      </c>
      <c r="BA215">
        <v>0</v>
      </c>
      <c r="BB215">
        <v>2</v>
      </c>
      <c r="BC215">
        <v>19</v>
      </c>
      <c r="BE215">
        <v>1</v>
      </c>
      <c r="BF215">
        <f t="shared" si="2"/>
        <v>127</v>
      </c>
      <c r="BG215">
        <v>0</v>
      </c>
      <c r="BH215">
        <v>1</v>
      </c>
      <c r="BI215">
        <v>17</v>
      </c>
      <c r="BK215">
        <v>3</v>
      </c>
      <c r="BL215">
        <f t="shared" si="3"/>
        <v>111</v>
      </c>
      <c r="BM215">
        <v>0</v>
      </c>
      <c r="BN215">
        <v>2</v>
      </c>
      <c r="BO215">
        <v>25</v>
      </c>
    </row>
    <row r="216" spans="23:67">
      <c r="W216">
        <v>12</v>
      </c>
      <c r="X216">
        <v>1</v>
      </c>
      <c r="Y216">
        <v>0</v>
      </c>
      <c r="Z216">
        <v>1</v>
      </c>
      <c r="AA216">
        <v>1</v>
      </c>
      <c r="AB216">
        <v>13</v>
      </c>
      <c r="AG216">
        <v>9</v>
      </c>
      <c r="AH216">
        <v>65.930000000000007</v>
      </c>
      <c r="AI216">
        <v>120</v>
      </c>
      <c r="AL216">
        <v>8</v>
      </c>
      <c r="AM216">
        <v>3</v>
      </c>
      <c r="AN216">
        <f t="shared" si="4"/>
        <v>108</v>
      </c>
      <c r="AO216">
        <v>0</v>
      </c>
      <c r="AP216">
        <v>2</v>
      </c>
      <c r="AQ216">
        <v>26</v>
      </c>
      <c r="AS216">
        <v>1</v>
      </c>
      <c r="AT216">
        <f t="shared" si="0"/>
        <v>110</v>
      </c>
      <c r="AU216">
        <v>0</v>
      </c>
      <c r="AV216">
        <v>1</v>
      </c>
      <c r="AW216">
        <v>23</v>
      </c>
      <c r="AY216">
        <v>3</v>
      </c>
      <c r="AZ216">
        <f t="shared" si="1"/>
        <v>123</v>
      </c>
      <c r="BA216">
        <v>0</v>
      </c>
      <c r="BB216">
        <v>2</v>
      </c>
      <c r="BC216">
        <v>17</v>
      </c>
      <c r="BE216">
        <v>1</v>
      </c>
      <c r="BF216">
        <f t="shared" si="2"/>
        <v>128</v>
      </c>
      <c r="BG216">
        <v>0</v>
      </c>
      <c r="BH216">
        <v>1</v>
      </c>
      <c r="BI216">
        <v>16</v>
      </c>
      <c r="BK216">
        <v>3</v>
      </c>
      <c r="BL216">
        <f t="shared" si="3"/>
        <v>114</v>
      </c>
      <c r="BM216">
        <v>0</v>
      </c>
      <c r="BN216">
        <v>2</v>
      </c>
      <c r="BO216">
        <v>23</v>
      </c>
    </row>
    <row r="217" spans="23:67">
      <c r="W217">
        <v>13</v>
      </c>
      <c r="X217">
        <v>1</v>
      </c>
      <c r="Y217">
        <v>0</v>
      </c>
      <c r="Z217">
        <v>1</v>
      </c>
      <c r="AA217">
        <v>1</v>
      </c>
      <c r="AB217">
        <v>12</v>
      </c>
      <c r="AG217">
        <v>10</v>
      </c>
      <c r="AH217">
        <v>75.349999999999994</v>
      </c>
      <c r="AI217">
        <v>120</v>
      </c>
      <c r="AL217">
        <v>9</v>
      </c>
      <c r="AM217">
        <v>6</v>
      </c>
      <c r="AN217">
        <f t="shared" si="4"/>
        <v>114</v>
      </c>
      <c r="AO217">
        <v>0</v>
      </c>
      <c r="AP217">
        <v>4</v>
      </c>
      <c r="AQ217">
        <v>22</v>
      </c>
      <c r="AS217">
        <v>1</v>
      </c>
      <c r="AT217">
        <f t="shared" si="0"/>
        <v>111</v>
      </c>
      <c r="AU217">
        <v>0</v>
      </c>
      <c r="AV217">
        <v>1</v>
      </c>
      <c r="AW217">
        <v>22</v>
      </c>
      <c r="AY217">
        <v>3</v>
      </c>
      <c r="AZ217">
        <f t="shared" si="1"/>
        <v>126</v>
      </c>
      <c r="BA217">
        <v>0</v>
      </c>
      <c r="BB217">
        <v>2</v>
      </c>
      <c r="BC217">
        <v>15</v>
      </c>
      <c r="BE217">
        <v>1</v>
      </c>
      <c r="BF217">
        <f t="shared" si="2"/>
        <v>129</v>
      </c>
      <c r="BG217">
        <v>0</v>
      </c>
      <c r="BH217">
        <v>1</v>
      </c>
      <c r="BI217">
        <v>15</v>
      </c>
      <c r="BK217">
        <v>3</v>
      </c>
      <c r="BL217">
        <f t="shared" si="3"/>
        <v>117</v>
      </c>
      <c r="BM217">
        <v>0</v>
      </c>
      <c r="BN217">
        <v>2</v>
      </c>
      <c r="BO217">
        <v>21</v>
      </c>
    </row>
    <row r="218" spans="23:67">
      <c r="W218">
        <v>14</v>
      </c>
      <c r="X218">
        <v>1</v>
      </c>
      <c r="Y218">
        <v>0</v>
      </c>
      <c r="Z218">
        <v>1</v>
      </c>
      <c r="AA218">
        <v>1</v>
      </c>
      <c r="AB218">
        <v>11</v>
      </c>
      <c r="AG218">
        <v>11</v>
      </c>
      <c r="AH218">
        <v>76.819999999999993</v>
      </c>
      <c r="AI218">
        <v>120</v>
      </c>
      <c r="AL218">
        <v>10</v>
      </c>
      <c r="AM218">
        <v>3</v>
      </c>
      <c r="AN218">
        <f t="shared" si="4"/>
        <v>117</v>
      </c>
      <c r="AO218">
        <v>0</v>
      </c>
      <c r="AP218">
        <v>2</v>
      </c>
      <c r="AQ218">
        <v>20</v>
      </c>
      <c r="AS218">
        <v>7</v>
      </c>
      <c r="AT218">
        <f t="shared" si="0"/>
        <v>118</v>
      </c>
      <c r="AU218">
        <v>0</v>
      </c>
      <c r="AV218">
        <v>5</v>
      </c>
      <c r="AW218">
        <v>17</v>
      </c>
      <c r="AY218">
        <v>1</v>
      </c>
      <c r="AZ218">
        <f t="shared" si="1"/>
        <v>127</v>
      </c>
      <c r="BA218">
        <v>0</v>
      </c>
      <c r="BB218">
        <v>1</v>
      </c>
      <c r="BC218">
        <v>14</v>
      </c>
      <c r="BE218">
        <v>1</v>
      </c>
      <c r="BF218">
        <f t="shared" si="2"/>
        <v>130</v>
      </c>
      <c r="BG218">
        <v>0</v>
      </c>
      <c r="BH218">
        <v>1</v>
      </c>
      <c r="BI218">
        <v>14</v>
      </c>
      <c r="BK218">
        <v>3</v>
      </c>
      <c r="BL218">
        <f t="shared" si="3"/>
        <v>120</v>
      </c>
      <c r="BM218">
        <v>0</v>
      </c>
      <c r="BN218">
        <v>2</v>
      </c>
      <c r="BO218">
        <v>19</v>
      </c>
    </row>
    <row r="219" spans="23:67">
      <c r="W219">
        <v>15</v>
      </c>
      <c r="X219">
        <v>1</v>
      </c>
      <c r="Y219">
        <v>1</v>
      </c>
      <c r="Z219">
        <v>1</v>
      </c>
      <c r="AA219">
        <v>1</v>
      </c>
      <c r="AB219">
        <v>10</v>
      </c>
      <c r="AG219">
        <v>12</v>
      </c>
      <c r="AH219">
        <v>76.84</v>
      </c>
      <c r="AI219">
        <v>120</v>
      </c>
      <c r="AL219">
        <v>11</v>
      </c>
      <c r="AM219">
        <v>1</v>
      </c>
      <c r="AN219">
        <f t="shared" si="4"/>
        <v>118</v>
      </c>
      <c r="AO219">
        <v>0</v>
      </c>
      <c r="AP219">
        <v>1</v>
      </c>
      <c r="AQ219">
        <v>19</v>
      </c>
      <c r="AS219">
        <v>1</v>
      </c>
      <c r="AT219">
        <f t="shared" si="0"/>
        <v>119</v>
      </c>
      <c r="AU219">
        <v>0</v>
      </c>
      <c r="AV219">
        <v>1</v>
      </c>
      <c r="AW219">
        <v>16</v>
      </c>
      <c r="AY219">
        <v>1</v>
      </c>
      <c r="AZ219">
        <f t="shared" si="1"/>
        <v>128</v>
      </c>
      <c r="BA219">
        <v>0</v>
      </c>
      <c r="BB219">
        <v>1</v>
      </c>
      <c r="BC219">
        <v>13</v>
      </c>
      <c r="BE219">
        <v>1</v>
      </c>
      <c r="BF219">
        <f t="shared" si="2"/>
        <v>131</v>
      </c>
      <c r="BG219">
        <v>0</v>
      </c>
      <c r="BH219">
        <v>1</v>
      </c>
      <c r="BI219">
        <v>13</v>
      </c>
      <c r="BK219">
        <v>3</v>
      </c>
      <c r="BL219">
        <f t="shared" si="3"/>
        <v>123</v>
      </c>
      <c r="BM219">
        <v>0</v>
      </c>
      <c r="BN219">
        <v>2</v>
      </c>
      <c r="BO219">
        <v>17</v>
      </c>
    </row>
    <row r="220" spans="23:67">
      <c r="W220">
        <v>16</v>
      </c>
      <c r="X220">
        <v>2</v>
      </c>
      <c r="Y220">
        <v>3</v>
      </c>
      <c r="Z220">
        <v>2</v>
      </c>
      <c r="AA220">
        <v>3</v>
      </c>
      <c r="AB220">
        <v>10</v>
      </c>
      <c r="AG220">
        <v>13</v>
      </c>
      <c r="AH220">
        <v>83.67</v>
      </c>
      <c r="AI220">
        <v>120</v>
      </c>
      <c r="AL220">
        <v>12</v>
      </c>
      <c r="AM220">
        <v>6</v>
      </c>
      <c r="AN220">
        <f t="shared" si="4"/>
        <v>124</v>
      </c>
      <c r="AO220">
        <v>0</v>
      </c>
      <c r="AP220">
        <v>4</v>
      </c>
      <c r="AQ220">
        <v>15</v>
      </c>
      <c r="AS220">
        <v>6</v>
      </c>
      <c r="AT220">
        <f t="shared" si="0"/>
        <v>125</v>
      </c>
      <c r="AU220">
        <v>0</v>
      </c>
      <c r="AV220">
        <v>4</v>
      </c>
      <c r="AW220">
        <v>12</v>
      </c>
      <c r="AY220">
        <v>1</v>
      </c>
      <c r="AZ220">
        <f t="shared" si="1"/>
        <v>129</v>
      </c>
      <c r="BA220">
        <v>0</v>
      </c>
      <c r="BB220">
        <v>1</v>
      </c>
      <c r="BC220">
        <v>12</v>
      </c>
      <c r="BE220">
        <v>1</v>
      </c>
      <c r="BF220">
        <f t="shared" si="2"/>
        <v>132</v>
      </c>
      <c r="BG220">
        <v>0</v>
      </c>
      <c r="BH220">
        <v>1</v>
      </c>
      <c r="BI220">
        <v>12</v>
      </c>
      <c r="BK220">
        <v>3</v>
      </c>
      <c r="BL220">
        <f t="shared" si="3"/>
        <v>126</v>
      </c>
      <c r="BM220">
        <v>0</v>
      </c>
      <c r="BN220">
        <v>2</v>
      </c>
      <c r="BO220">
        <v>15</v>
      </c>
    </row>
    <row r="221" spans="23:67">
      <c r="W221">
        <v>17</v>
      </c>
      <c r="X221">
        <v>2</v>
      </c>
      <c r="Y221">
        <v>5</v>
      </c>
      <c r="Z221">
        <v>2</v>
      </c>
      <c r="AA221">
        <v>3</v>
      </c>
      <c r="AB221">
        <v>11</v>
      </c>
      <c r="AG221">
        <v>14</v>
      </c>
      <c r="AH221">
        <v>78.5</v>
      </c>
      <c r="AI221">
        <v>120</v>
      </c>
      <c r="AL221">
        <v>13</v>
      </c>
      <c r="AM221">
        <v>3</v>
      </c>
      <c r="AN221">
        <f t="shared" si="4"/>
        <v>127</v>
      </c>
      <c r="AO221">
        <v>0</v>
      </c>
      <c r="AP221">
        <v>2</v>
      </c>
      <c r="AQ221">
        <v>13</v>
      </c>
      <c r="AS221">
        <v>1</v>
      </c>
      <c r="AT221">
        <f t="shared" si="0"/>
        <v>126</v>
      </c>
      <c r="AU221">
        <v>0</v>
      </c>
      <c r="AV221">
        <v>1</v>
      </c>
      <c r="AW221">
        <v>11</v>
      </c>
      <c r="AY221">
        <v>1</v>
      </c>
      <c r="AZ221">
        <f t="shared" si="1"/>
        <v>130</v>
      </c>
      <c r="BA221">
        <v>0</v>
      </c>
      <c r="BB221">
        <v>1</v>
      </c>
      <c r="BC221">
        <v>11</v>
      </c>
      <c r="BE221">
        <v>1</v>
      </c>
      <c r="BF221">
        <f t="shared" si="2"/>
        <v>133</v>
      </c>
      <c r="BG221">
        <v>0</v>
      </c>
      <c r="BH221">
        <v>1</v>
      </c>
      <c r="BI221">
        <v>11</v>
      </c>
      <c r="BK221">
        <v>3</v>
      </c>
      <c r="BL221">
        <f t="shared" si="3"/>
        <v>129</v>
      </c>
      <c r="BM221">
        <v>0</v>
      </c>
      <c r="BN221">
        <v>2</v>
      </c>
      <c r="BO221">
        <v>13</v>
      </c>
    </row>
    <row r="222" spans="23:67">
      <c r="W222">
        <v>18</v>
      </c>
      <c r="X222">
        <v>2</v>
      </c>
      <c r="Y222">
        <v>7</v>
      </c>
      <c r="Z222">
        <v>2</v>
      </c>
      <c r="AA222">
        <v>3</v>
      </c>
      <c r="AB222">
        <v>14</v>
      </c>
      <c r="AG222">
        <v>15</v>
      </c>
      <c r="AH222">
        <v>86</v>
      </c>
      <c r="AI222">
        <v>120</v>
      </c>
      <c r="AL222">
        <v>14</v>
      </c>
      <c r="AM222">
        <v>3</v>
      </c>
      <c r="AN222">
        <f t="shared" si="4"/>
        <v>130</v>
      </c>
      <c r="AO222">
        <v>0</v>
      </c>
      <c r="AP222">
        <v>2</v>
      </c>
      <c r="AQ222">
        <v>11</v>
      </c>
      <c r="AS222">
        <v>1</v>
      </c>
      <c r="AT222">
        <f t="shared" si="0"/>
        <v>127</v>
      </c>
      <c r="AU222">
        <v>0</v>
      </c>
      <c r="AV222">
        <v>1</v>
      </c>
      <c r="AW222">
        <v>10</v>
      </c>
      <c r="AY222">
        <v>1</v>
      </c>
      <c r="AZ222">
        <f t="shared" si="1"/>
        <v>131</v>
      </c>
      <c r="BA222">
        <v>0</v>
      </c>
      <c r="BB222">
        <v>1</v>
      </c>
      <c r="BC222">
        <v>10</v>
      </c>
      <c r="BE222">
        <v>1</v>
      </c>
      <c r="BF222">
        <f t="shared" si="2"/>
        <v>134</v>
      </c>
      <c r="BG222">
        <v>0</v>
      </c>
      <c r="BH222">
        <v>1</v>
      </c>
      <c r="BI222">
        <v>10</v>
      </c>
      <c r="BK222">
        <v>3</v>
      </c>
      <c r="BL222">
        <f t="shared" si="3"/>
        <v>132</v>
      </c>
      <c r="BM222">
        <v>0</v>
      </c>
      <c r="BN222">
        <v>2</v>
      </c>
      <c r="BO222">
        <v>11</v>
      </c>
    </row>
    <row r="223" spans="23:67">
      <c r="W223">
        <v>19</v>
      </c>
      <c r="X223">
        <v>2</v>
      </c>
      <c r="Y223">
        <v>9</v>
      </c>
      <c r="Z223">
        <v>2</v>
      </c>
      <c r="AA223">
        <v>3</v>
      </c>
      <c r="AB223">
        <v>19</v>
      </c>
      <c r="AG223">
        <v>16</v>
      </c>
      <c r="AH223">
        <v>90.53</v>
      </c>
      <c r="AI223">
        <v>120</v>
      </c>
      <c r="AL223">
        <v>15</v>
      </c>
      <c r="AM223">
        <v>1</v>
      </c>
      <c r="AN223">
        <f t="shared" si="4"/>
        <v>131</v>
      </c>
      <c r="AO223">
        <v>1</v>
      </c>
      <c r="AP223">
        <v>1</v>
      </c>
      <c r="AQ223">
        <v>11</v>
      </c>
      <c r="AS223">
        <v>1</v>
      </c>
      <c r="AT223">
        <f t="shared" si="0"/>
        <v>128</v>
      </c>
      <c r="AU223">
        <v>1</v>
      </c>
      <c r="AV223">
        <v>1</v>
      </c>
      <c r="AW223">
        <v>10</v>
      </c>
      <c r="AY223">
        <v>1</v>
      </c>
      <c r="AZ223">
        <f t="shared" si="1"/>
        <v>132</v>
      </c>
      <c r="BA223">
        <v>1</v>
      </c>
      <c r="BB223">
        <v>1</v>
      </c>
      <c r="BC223">
        <v>10</v>
      </c>
      <c r="BE223">
        <v>1</v>
      </c>
      <c r="BF223">
        <f t="shared" si="2"/>
        <v>135</v>
      </c>
      <c r="BG223">
        <v>1</v>
      </c>
      <c r="BH223">
        <v>1</v>
      </c>
      <c r="BI223">
        <v>10</v>
      </c>
      <c r="BK223">
        <v>3</v>
      </c>
      <c r="BL223">
        <f t="shared" si="3"/>
        <v>135</v>
      </c>
      <c r="BM223">
        <v>1</v>
      </c>
      <c r="BN223">
        <v>2</v>
      </c>
      <c r="BO223">
        <v>10</v>
      </c>
    </row>
    <row r="224" spans="23:67">
      <c r="W224">
        <v>20</v>
      </c>
      <c r="X224">
        <v>4</v>
      </c>
      <c r="Y224">
        <v>10</v>
      </c>
      <c r="Z224">
        <v>6</v>
      </c>
      <c r="AA224">
        <v>9</v>
      </c>
      <c r="AB224">
        <v>26</v>
      </c>
      <c r="AG224">
        <v>17</v>
      </c>
      <c r="AH224">
        <v>86.96</v>
      </c>
      <c r="AI224">
        <v>120</v>
      </c>
      <c r="AL224">
        <v>16</v>
      </c>
      <c r="AM224">
        <v>3</v>
      </c>
      <c r="AN224">
        <f t="shared" si="4"/>
        <v>134</v>
      </c>
      <c r="AO224">
        <v>3</v>
      </c>
      <c r="AP224">
        <v>2</v>
      </c>
      <c r="AQ224">
        <v>12</v>
      </c>
      <c r="AS224">
        <v>3</v>
      </c>
      <c r="AT224">
        <f t="shared" si="0"/>
        <v>131</v>
      </c>
      <c r="AU224">
        <v>3</v>
      </c>
      <c r="AV224">
        <v>2</v>
      </c>
      <c r="AW224">
        <v>11</v>
      </c>
      <c r="AY224">
        <v>3</v>
      </c>
      <c r="AZ224">
        <f t="shared" si="1"/>
        <v>135</v>
      </c>
      <c r="BA224">
        <v>3</v>
      </c>
      <c r="BB224">
        <v>2</v>
      </c>
      <c r="BC224">
        <v>11</v>
      </c>
      <c r="BE224">
        <v>5</v>
      </c>
      <c r="BF224">
        <f t="shared" si="2"/>
        <v>140</v>
      </c>
      <c r="BG224">
        <v>3</v>
      </c>
      <c r="BH224">
        <v>3</v>
      </c>
      <c r="BI224">
        <v>10</v>
      </c>
      <c r="BK224">
        <v>3</v>
      </c>
      <c r="BL224">
        <f t="shared" si="3"/>
        <v>138</v>
      </c>
      <c r="BM224">
        <v>3</v>
      </c>
      <c r="BN224">
        <v>2</v>
      </c>
      <c r="BO224">
        <v>11</v>
      </c>
    </row>
    <row r="225" spans="5:67">
      <c r="W225">
        <v>21</v>
      </c>
      <c r="X225">
        <v>4</v>
      </c>
      <c r="Y225">
        <v>10</v>
      </c>
      <c r="Z225">
        <v>6</v>
      </c>
      <c r="AA225">
        <v>9</v>
      </c>
      <c r="AB225">
        <v>30</v>
      </c>
      <c r="AG225">
        <v>18</v>
      </c>
      <c r="AH225">
        <v>86.96</v>
      </c>
      <c r="AI225">
        <v>120</v>
      </c>
      <c r="AL225">
        <v>17</v>
      </c>
      <c r="AM225">
        <v>5</v>
      </c>
      <c r="AN225">
        <f t="shared" si="4"/>
        <v>139</v>
      </c>
      <c r="AO225">
        <v>5</v>
      </c>
      <c r="AP225">
        <v>3</v>
      </c>
      <c r="AQ225">
        <v>14</v>
      </c>
      <c r="AS225">
        <v>7</v>
      </c>
      <c r="AT225">
        <f t="shared" si="0"/>
        <v>138</v>
      </c>
      <c r="AU225">
        <v>5</v>
      </c>
      <c r="AV225">
        <v>5</v>
      </c>
      <c r="AW225">
        <v>11</v>
      </c>
      <c r="AY225">
        <v>3</v>
      </c>
      <c r="AZ225">
        <f t="shared" si="1"/>
        <v>138</v>
      </c>
      <c r="BA225">
        <v>5</v>
      </c>
      <c r="BB225">
        <v>2</v>
      </c>
      <c r="BC225">
        <v>14</v>
      </c>
      <c r="BE225">
        <v>6</v>
      </c>
      <c r="BF225">
        <f t="shared" si="2"/>
        <v>146</v>
      </c>
      <c r="BG225">
        <v>5</v>
      </c>
      <c r="BH225">
        <v>4</v>
      </c>
      <c r="BI225">
        <v>11</v>
      </c>
      <c r="BK225">
        <v>3</v>
      </c>
      <c r="BL225">
        <f t="shared" si="3"/>
        <v>141</v>
      </c>
      <c r="BM225">
        <v>5</v>
      </c>
      <c r="BN225">
        <v>2</v>
      </c>
      <c r="BO225">
        <v>14</v>
      </c>
    </row>
    <row r="226" spans="5:67">
      <c r="W226">
        <v>22</v>
      </c>
      <c r="X226">
        <v>6</v>
      </c>
      <c r="Y226">
        <v>9</v>
      </c>
      <c r="Z226">
        <v>12</v>
      </c>
      <c r="AA226">
        <v>18</v>
      </c>
      <c r="AB226">
        <v>34</v>
      </c>
      <c r="AG226">
        <v>19</v>
      </c>
      <c r="AH226">
        <v>93.01</v>
      </c>
      <c r="AI226">
        <v>120</v>
      </c>
      <c r="AL226">
        <v>18</v>
      </c>
      <c r="AM226">
        <v>5</v>
      </c>
      <c r="AN226">
        <f t="shared" si="4"/>
        <v>144</v>
      </c>
      <c r="AO226">
        <v>7</v>
      </c>
      <c r="AP226">
        <v>3</v>
      </c>
      <c r="AQ226">
        <v>18</v>
      </c>
      <c r="AS226">
        <v>3</v>
      </c>
      <c r="AT226">
        <f t="shared" si="0"/>
        <v>141</v>
      </c>
      <c r="AU226">
        <v>7</v>
      </c>
      <c r="AV226">
        <v>2</v>
      </c>
      <c r="AW226">
        <v>16</v>
      </c>
      <c r="AY226">
        <v>3</v>
      </c>
      <c r="AZ226">
        <f t="shared" si="1"/>
        <v>141</v>
      </c>
      <c r="BA226">
        <v>7</v>
      </c>
      <c r="BB226">
        <v>2</v>
      </c>
      <c r="BC226">
        <v>19</v>
      </c>
      <c r="BE226">
        <v>6</v>
      </c>
      <c r="BF226">
        <f t="shared" si="2"/>
        <v>152</v>
      </c>
      <c r="BG226">
        <v>7</v>
      </c>
      <c r="BH226">
        <v>4</v>
      </c>
      <c r="BI226">
        <v>14</v>
      </c>
      <c r="BK226">
        <v>10</v>
      </c>
      <c r="BL226">
        <f t="shared" si="3"/>
        <v>151</v>
      </c>
      <c r="BM226">
        <v>7</v>
      </c>
      <c r="BN226">
        <v>8</v>
      </c>
      <c r="BO226">
        <v>13</v>
      </c>
    </row>
    <row r="227" spans="5:67">
      <c r="W227">
        <v>23</v>
      </c>
      <c r="X227">
        <v>4</v>
      </c>
      <c r="Y227">
        <v>8</v>
      </c>
      <c r="Z227">
        <v>6</v>
      </c>
      <c r="AA227">
        <v>9</v>
      </c>
      <c r="AB227">
        <v>31</v>
      </c>
      <c r="AG227">
        <v>20</v>
      </c>
      <c r="AH227">
        <v>94.17</v>
      </c>
      <c r="AI227">
        <v>120</v>
      </c>
      <c r="AL227">
        <v>19</v>
      </c>
      <c r="AM227">
        <v>6</v>
      </c>
      <c r="AN227">
        <f t="shared" si="4"/>
        <v>150</v>
      </c>
      <c r="AO227">
        <v>9</v>
      </c>
      <c r="AP227">
        <v>4</v>
      </c>
      <c r="AQ227">
        <v>23</v>
      </c>
      <c r="AS227">
        <v>3</v>
      </c>
      <c r="AT227">
        <f t="shared" si="0"/>
        <v>144</v>
      </c>
      <c r="AU227">
        <v>9</v>
      </c>
      <c r="AV227">
        <v>2</v>
      </c>
      <c r="AW227">
        <v>23</v>
      </c>
      <c r="AY227">
        <v>3</v>
      </c>
      <c r="AZ227">
        <f t="shared" si="1"/>
        <v>144</v>
      </c>
      <c r="BA227">
        <v>9</v>
      </c>
      <c r="BB227">
        <v>2</v>
      </c>
      <c r="BC227">
        <v>26</v>
      </c>
      <c r="BE227">
        <v>6</v>
      </c>
      <c r="BF227">
        <f t="shared" si="2"/>
        <v>158</v>
      </c>
      <c r="BG227">
        <v>9</v>
      </c>
      <c r="BH227">
        <v>4</v>
      </c>
      <c r="BI227">
        <v>19</v>
      </c>
      <c r="BK227">
        <v>10</v>
      </c>
      <c r="BL227">
        <f t="shared" si="3"/>
        <v>161</v>
      </c>
      <c r="BM227">
        <v>9</v>
      </c>
      <c r="BN227">
        <v>8</v>
      </c>
      <c r="BO227">
        <v>14</v>
      </c>
    </row>
    <row r="228" spans="5:67">
      <c r="W228">
        <v>24</v>
      </c>
      <c r="X228">
        <v>5</v>
      </c>
      <c r="Y228">
        <v>6</v>
      </c>
      <c r="Z228">
        <v>9</v>
      </c>
      <c r="AA228">
        <v>13</v>
      </c>
      <c r="AB228">
        <v>33</v>
      </c>
      <c r="AG228">
        <v>21</v>
      </c>
      <c r="AH228">
        <v>92.41</v>
      </c>
      <c r="AI228">
        <v>120</v>
      </c>
      <c r="AL228">
        <v>20</v>
      </c>
      <c r="AM228">
        <v>5</v>
      </c>
      <c r="AN228">
        <f t="shared" si="4"/>
        <v>155</v>
      </c>
      <c r="AO228">
        <v>10</v>
      </c>
      <c r="AP228">
        <v>3</v>
      </c>
      <c r="AQ228">
        <v>30</v>
      </c>
      <c r="AS228">
        <v>7</v>
      </c>
      <c r="AT228">
        <f t="shared" si="0"/>
        <v>151</v>
      </c>
      <c r="AU228">
        <v>10</v>
      </c>
      <c r="AV228">
        <v>5</v>
      </c>
      <c r="AW228">
        <v>28</v>
      </c>
      <c r="AY228">
        <v>7</v>
      </c>
      <c r="AZ228">
        <f t="shared" si="1"/>
        <v>151</v>
      </c>
      <c r="BA228">
        <v>10</v>
      </c>
      <c r="BB228">
        <v>5</v>
      </c>
      <c r="BC228">
        <v>31</v>
      </c>
      <c r="BE228">
        <v>6</v>
      </c>
      <c r="BF228">
        <f t="shared" si="2"/>
        <v>164</v>
      </c>
      <c r="BG228">
        <v>10</v>
      </c>
      <c r="BH228">
        <v>4</v>
      </c>
      <c r="BI228">
        <v>25</v>
      </c>
      <c r="BK228">
        <v>7</v>
      </c>
      <c r="BL228">
        <f t="shared" si="3"/>
        <v>168</v>
      </c>
      <c r="BM228">
        <v>10</v>
      </c>
      <c r="BN228">
        <v>5</v>
      </c>
      <c r="BO228">
        <v>19</v>
      </c>
    </row>
    <row r="229" spans="5:67">
      <c r="AA229">
        <f>SUM(AA205:AA228)</f>
        <v>105</v>
      </c>
      <c r="AB229">
        <v>30</v>
      </c>
      <c r="AG229">
        <v>22</v>
      </c>
      <c r="AH229">
        <v>93.02</v>
      </c>
      <c r="AI229">
        <v>120</v>
      </c>
      <c r="AL229">
        <v>21</v>
      </c>
      <c r="AM229">
        <v>10</v>
      </c>
      <c r="AN229">
        <f t="shared" si="4"/>
        <v>165</v>
      </c>
      <c r="AO229">
        <v>10</v>
      </c>
      <c r="AP229">
        <v>8</v>
      </c>
      <c r="AQ229">
        <v>32</v>
      </c>
      <c r="AS229">
        <v>10</v>
      </c>
      <c r="AT229">
        <f t="shared" si="0"/>
        <v>161</v>
      </c>
      <c r="AU229">
        <v>10</v>
      </c>
      <c r="AV229">
        <v>8</v>
      </c>
      <c r="AW229">
        <v>30</v>
      </c>
      <c r="AY229">
        <v>10</v>
      </c>
      <c r="AZ229">
        <f t="shared" si="1"/>
        <v>161</v>
      </c>
      <c r="BA229">
        <v>10</v>
      </c>
      <c r="BB229">
        <v>8</v>
      </c>
      <c r="BC229">
        <v>33</v>
      </c>
      <c r="BE229">
        <v>6</v>
      </c>
      <c r="BF229">
        <f t="shared" si="2"/>
        <v>170</v>
      </c>
      <c r="BG229">
        <v>10</v>
      </c>
      <c r="BH229">
        <v>4</v>
      </c>
      <c r="BI229">
        <v>31</v>
      </c>
      <c r="BK229">
        <v>7</v>
      </c>
      <c r="BL229">
        <f t="shared" si="3"/>
        <v>175</v>
      </c>
      <c r="BM229">
        <v>10</v>
      </c>
      <c r="BN229">
        <v>5</v>
      </c>
      <c r="BO229">
        <v>24</v>
      </c>
    </row>
    <row r="230" spans="5:67">
      <c r="AG230">
        <v>23</v>
      </c>
      <c r="AH230">
        <v>94.56</v>
      </c>
      <c r="AI230">
        <v>120</v>
      </c>
      <c r="AL230">
        <v>22</v>
      </c>
      <c r="AM230">
        <v>10</v>
      </c>
      <c r="AN230">
        <f t="shared" si="4"/>
        <v>175</v>
      </c>
      <c r="AO230">
        <v>9</v>
      </c>
      <c r="AP230">
        <v>8</v>
      </c>
      <c r="AQ230">
        <v>33</v>
      </c>
      <c r="AS230">
        <v>10</v>
      </c>
      <c r="AT230">
        <f t="shared" si="0"/>
        <v>171</v>
      </c>
      <c r="AU230">
        <v>9</v>
      </c>
      <c r="AV230">
        <v>8</v>
      </c>
      <c r="AW230">
        <v>31</v>
      </c>
      <c r="AY230">
        <v>10</v>
      </c>
      <c r="AZ230">
        <f t="shared" si="1"/>
        <v>171</v>
      </c>
      <c r="BA230">
        <v>9</v>
      </c>
      <c r="BB230">
        <v>8</v>
      </c>
      <c r="BC230">
        <v>34</v>
      </c>
      <c r="BE230">
        <v>10</v>
      </c>
      <c r="BF230">
        <f t="shared" si="2"/>
        <v>180</v>
      </c>
      <c r="BG230">
        <v>9</v>
      </c>
      <c r="BH230">
        <v>8</v>
      </c>
      <c r="BI230">
        <v>32</v>
      </c>
      <c r="BK230">
        <v>7</v>
      </c>
      <c r="BL230">
        <f t="shared" si="3"/>
        <v>182</v>
      </c>
      <c r="BM230">
        <v>9</v>
      </c>
      <c r="BN230">
        <v>5</v>
      </c>
      <c r="BO230">
        <v>28</v>
      </c>
    </row>
    <row r="231" spans="5:67">
      <c r="X231" t="s">
        <v>106</v>
      </c>
      <c r="AG231">
        <v>24</v>
      </c>
      <c r="AH231">
        <v>95.92</v>
      </c>
      <c r="AI231">
        <v>120</v>
      </c>
      <c r="AL231">
        <v>23</v>
      </c>
      <c r="AM231">
        <v>7</v>
      </c>
      <c r="AN231">
        <f t="shared" si="4"/>
        <v>182</v>
      </c>
      <c r="AO231">
        <v>8</v>
      </c>
      <c r="AP231">
        <v>5</v>
      </c>
      <c r="AQ231">
        <v>36</v>
      </c>
      <c r="AS231">
        <v>7</v>
      </c>
      <c r="AT231">
        <f t="shared" si="0"/>
        <v>178</v>
      </c>
      <c r="AU231">
        <v>8</v>
      </c>
      <c r="AV231">
        <v>5</v>
      </c>
      <c r="AW231">
        <v>34</v>
      </c>
      <c r="AY231">
        <v>10</v>
      </c>
      <c r="AZ231">
        <f t="shared" si="1"/>
        <v>181</v>
      </c>
      <c r="BA231">
        <v>8</v>
      </c>
      <c r="BB231">
        <v>8</v>
      </c>
      <c r="BC231">
        <v>34</v>
      </c>
      <c r="BE231">
        <v>10</v>
      </c>
      <c r="BF231">
        <f t="shared" si="2"/>
        <v>190</v>
      </c>
      <c r="BG231">
        <v>8</v>
      </c>
      <c r="BH231">
        <v>8</v>
      </c>
      <c r="BI231">
        <v>32</v>
      </c>
      <c r="BK231">
        <v>7</v>
      </c>
      <c r="BL231">
        <f t="shared" si="3"/>
        <v>189</v>
      </c>
      <c r="BM231">
        <v>8</v>
      </c>
      <c r="BN231">
        <v>5</v>
      </c>
      <c r="BO231">
        <v>31</v>
      </c>
    </row>
    <row r="232" spans="5:67">
      <c r="W232">
        <v>1</v>
      </c>
      <c r="X232" s="4">
        <v>1</v>
      </c>
      <c r="Y232">
        <v>3</v>
      </c>
      <c r="Z232" s="4">
        <v>1</v>
      </c>
      <c r="AA232" s="4">
        <v>1</v>
      </c>
      <c r="AB232" s="4">
        <v>30</v>
      </c>
      <c r="AL232">
        <v>24</v>
      </c>
      <c r="AM232">
        <v>6</v>
      </c>
      <c r="AN232">
        <f t="shared" si="4"/>
        <v>188</v>
      </c>
      <c r="AO232">
        <v>6</v>
      </c>
      <c r="AP232">
        <v>4</v>
      </c>
      <c r="AQ232">
        <v>38</v>
      </c>
      <c r="AS232">
        <v>10</v>
      </c>
      <c r="AT232">
        <f t="shared" si="0"/>
        <v>188</v>
      </c>
      <c r="AU232">
        <v>6</v>
      </c>
      <c r="AV232">
        <v>8</v>
      </c>
      <c r="AW232">
        <v>32</v>
      </c>
      <c r="AY232">
        <v>10</v>
      </c>
      <c r="AZ232">
        <f t="shared" si="1"/>
        <v>191</v>
      </c>
      <c r="BA232">
        <v>6</v>
      </c>
      <c r="BB232">
        <v>8</v>
      </c>
      <c r="BC232">
        <v>32</v>
      </c>
      <c r="BE232">
        <v>10</v>
      </c>
      <c r="BF232">
        <f t="shared" si="2"/>
        <v>200</v>
      </c>
      <c r="BG232">
        <v>6</v>
      </c>
      <c r="BH232">
        <v>8</v>
      </c>
      <c r="BI232">
        <v>30</v>
      </c>
      <c r="BK232">
        <v>7</v>
      </c>
      <c r="BL232">
        <f t="shared" si="3"/>
        <v>196</v>
      </c>
      <c r="BM232">
        <v>6</v>
      </c>
      <c r="BN232">
        <v>5</v>
      </c>
      <c r="BO232">
        <v>32</v>
      </c>
    </row>
    <row r="233" spans="5:67">
      <c r="W233">
        <v>2</v>
      </c>
      <c r="X233" s="4">
        <v>1</v>
      </c>
      <c r="Y233">
        <v>1</v>
      </c>
      <c r="Z233" s="4">
        <v>1</v>
      </c>
      <c r="AA233" s="4">
        <v>1</v>
      </c>
      <c r="AB233" s="4">
        <v>32</v>
      </c>
    </row>
    <row r="234" spans="5:67">
      <c r="W234">
        <v>3</v>
      </c>
      <c r="X234" s="4">
        <v>1</v>
      </c>
      <c r="Y234">
        <v>0</v>
      </c>
      <c r="Z234" s="4">
        <v>1</v>
      </c>
      <c r="AA234" s="4">
        <v>1</v>
      </c>
      <c r="AB234" s="4">
        <v>32</v>
      </c>
      <c r="AF234" t="s">
        <v>148</v>
      </c>
      <c r="AG234">
        <v>1</v>
      </c>
      <c r="AH234">
        <v>0</v>
      </c>
      <c r="AI234">
        <v>100</v>
      </c>
      <c r="AL234">
        <v>0</v>
      </c>
      <c r="AN234">
        <f>AN232</f>
        <v>188</v>
      </c>
      <c r="AQ234">
        <v>38</v>
      </c>
      <c r="AT234">
        <f>AT232</f>
        <v>188</v>
      </c>
      <c r="AZ234">
        <f>AZ232</f>
        <v>191</v>
      </c>
      <c r="BF234">
        <f>BF232</f>
        <v>200</v>
      </c>
      <c r="BL234">
        <f>BL232</f>
        <v>196</v>
      </c>
    </row>
    <row r="235" spans="5:67">
      <c r="W235">
        <v>4</v>
      </c>
      <c r="X235" s="4">
        <v>1</v>
      </c>
      <c r="Y235">
        <v>0</v>
      </c>
      <c r="Z235" s="4">
        <v>1</v>
      </c>
      <c r="AA235" s="4">
        <v>1</v>
      </c>
      <c r="AB235" s="4">
        <v>31</v>
      </c>
      <c r="AG235">
        <v>2</v>
      </c>
      <c r="AH235">
        <v>0</v>
      </c>
      <c r="AI235">
        <v>100</v>
      </c>
      <c r="AL235">
        <v>1</v>
      </c>
      <c r="AM235">
        <v>1</v>
      </c>
      <c r="AN235">
        <f>AN234+AM235</f>
        <v>189</v>
      </c>
      <c r="AO235">
        <v>3</v>
      </c>
      <c r="AP235">
        <v>1</v>
      </c>
      <c r="AQ235">
        <v>40</v>
      </c>
      <c r="AS235">
        <v>1</v>
      </c>
      <c r="AT235">
        <f>AT234+AS235</f>
        <v>189</v>
      </c>
      <c r="AU235">
        <v>3</v>
      </c>
      <c r="AV235">
        <v>1</v>
      </c>
      <c r="AW235">
        <v>34</v>
      </c>
      <c r="AY235">
        <v>6</v>
      </c>
      <c r="AZ235">
        <f>AZ234+AY235</f>
        <v>197</v>
      </c>
      <c r="BA235">
        <v>3</v>
      </c>
      <c r="BB235">
        <v>4</v>
      </c>
      <c r="BC235">
        <v>31</v>
      </c>
      <c r="BE235">
        <v>5</v>
      </c>
      <c r="BF235">
        <f>BF234+BE235</f>
        <v>205</v>
      </c>
      <c r="BG235">
        <v>3</v>
      </c>
      <c r="BH235">
        <v>3</v>
      </c>
      <c r="BI235">
        <v>30</v>
      </c>
      <c r="BK235">
        <v>1</v>
      </c>
      <c r="BL235">
        <f>BL234+BK235</f>
        <v>197</v>
      </c>
      <c r="BM235">
        <v>3</v>
      </c>
      <c r="BN235">
        <v>1</v>
      </c>
      <c r="BO235">
        <v>34</v>
      </c>
    </row>
    <row r="236" spans="5:67">
      <c r="W236">
        <v>5</v>
      </c>
      <c r="X236" s="4">
        <v>1</v>
      </c>
      <c r="Y236">
        <v>0</v>
      </c>
      <c r="Z236" s="4">
        <v>1</v>
      </c>
      <c r="AA236" s="4">
        <v>1</v>
      </c>
      <c r="AB236" s="4">
        <v>30</v>
      </c>
      <c r="AG236">
        <v>3</v>
      </c>
      <c r="AH236">
        <v>0</v>
      </c>
      <c r="AI236">
        <v>100</v>
      </c>
      <c r="AL236">
        <v>2</v>
      </c>
      <c r="AM236">
        <v>1</v>
      </c>
      <c r="AN236">
        <f t="shared" ref="AN236:AN258" si="5">AN235+AM236</f>
        <v>190</v>
      </c>
      <c r="AO236">
        <v>1</v>
      </c>
      <c r="AP236">
        <v>1</v>
      </c>
      <c r="AQ236">
        <v>40</v>
      </c>
      <c r="AS236">
        <v>1</v>
      </c>
      <c r="AT236">
        <f t="shared" ref="AT236:AT258" si="6">AT235+AS236</f>
        <v>190</v>
      </c>
      <c r="AU236">
        <v>1</v>
      </c>
      <c r="AV236">
        <v>1</v>
      </c>
      <c r="AW236">
        <v>34</v>
      </c>
      <c r="AY236">
        <v>5</v>
      </c>
      <c r="AZ236">
        <f t="shared" ref="AZ236:AZ258" si="7">AZ235+AY236</f>
        <v>202</v>
      </c>
      <c r="BA236">
        <v>1</v>
      </c>
      <c r="BB236">
        <v>3</v>
      </c>
      <c r="BC236">
        <v>29</v>
      </c>
      <c r="BE236">
        <v>5</v>
      </c>
      <c r="BF236">
        <f t="shared" ref="BF236:BF258" si="8">BF235+BE236</f>
        <v>210</v>
      </c>
      <c r="BG236">
        <v>1</v>
      </c>
      <c r="BH236">
        <v>3</v>
      </c>
      <c r="BI236">
        <v>28</v>
      </c>
      <c r="BK236">
        <v>1</v>
      </c>
      <c r="BL236">
        <f t="shared" ref="BL236:BL258" si="9">BL235+BK236</f>
        <v>198</v>
      </c>
      <c r="BM236">
        <v>1</v>
      </c>
      <c r="BN236">
        <v>1</v>
      </c>
      <c r="BO236">
        <v>34</v>
      </c>
    </row>
    <row r="237" spans="5:67">
      <c r="E237" t="s">
        <v>68</v>
      </c>
      <c r="J237" t="s">
        <v>38</v>
      </c>
      <c r="K237" s="2" t="s">
        <v>39</v>
      </c>
      <c r="O237" t="s">
        <v>42</v>
      </c>
      <c r="W237">
        <v>6</v>
      </c>
      <c r="X237" s="4">
        <v>2</v>
      </c>
      <c r="Y237">
        <v>0</v>
      </c>
      <c r="Z237" s="4">
        <v>2</v>
      </c>
      <c r="AA237" s="4">
        <v>3</v>
      </c>
      <c r="AB237" s="4">
        <v>29</v>
      </c>
      <c r="AG237">
        <v>4</v>
      </c>
      <c r="AH237">
        <v>0</v>
      </c>
      <c r="AI237">
        <v>100</v>
      </c>
      <c r="AL237">
        <v>3</v>
      </c>
      <c r="AM237">
        <v>3</v>
      </c>
      <c r="AN237">
        <f t="shared" si="5"/>
        <v>193</v>
      </c>
      <c r="AO237">
        <v>0</v>
      </c>
      <c r="AP237">
        <v>2</v>
      </c>
      <c r="AQ237">
        <v>38</v>
      </c>
      <c r="AS237">
        <v>1</v>
      </c>
      <c r="AT237">
        <f t="shared" si="6"/>
        <v>191</v>
      </c>
      <c r="AU237">
        <v>0</v>
      </c>
      <c r="AV237">
        <v>1</v>
      </c>
      <c r="AW237">
        <v>33</v>
      </c>
      <c r="AY237">
        <v>3</v>
      </c>
      <c r="AZ237">
        <f t="shared" si="7"/>
        <v>205</v>
      </c>
      <c r="BA237">
        <v>0</v>
      </c>
      <c r="BB237">
        <v>2</v>
      </c>
      <c r="BC237">
        <v>27</v>
      </c>
      <c r="BE237">
        <v>5</v>
      </c>
      <c r="BF237">
        <f t="shared" si="8"/>
        <v>215</v>
      </c>
      <c r="BG237">
        <v>0</v>
      </c>
      <c r="BH237">
        <v>3</v>
      </c>
      <c r="BI237">
        <v>25</v>
      </c>
      <c r="BK237">
        <v>1</v>
      </c>
      <c r="BL237">
        <f t="shared" si="9"/>
        <v>199</v>
      </c>
      <c r="BM237">
        <v>0</v>
      </c>
      <c r="BN237">
        <v>1</v>
      </c>
      <c r="BO237">
        <v>33</v>
      </c>
    </row>
    <row r="238" spans="5:67">
      <c r="E238" t="s">
        <v>69</v>
      </c>
      <c r="O238" t="s">
        <v>43</v>
      </c>
      <c r="W238">
        <v>7</v>
      </c>
      <c r="X238" s="4">
        <v>2</v>
      </c>
      <c r="Y238">
        <v>0</v>
      </c>
      <c r="Z238" s="4">
        <v>2</v>
      </c>
      <c r="AA238" s="4">
        <v>3</v>
      </c>
      <c r="AB238" s="4">
        <v>27</v>
      </c>
      <c r="AG238">
        <v>5</v>
      </c>
      <c r="AH238">
        <v>0</v>
      </c>
      <c r="AI238">
        <v>100</v>
      </c>
      <c r="AL238">
        <v>4</v>
      </c>
      <c r="AM238">
        <v>1</v>
      </c>
      <c r="AN238">
        <f t="shared" si="5"/>
        <v>194</v>
      </c>
      <c r="AO238">
        <v>0</v>
      </c>
      <c r="AP238">
        <v>1</v>
      </c>
      <c r="AQ238">
        <v>37</v>
      </c>
      <c r="AS238">
        <v>3</v>
      </c>
      <c r="AT238">
        <f t="shared" si="6"/>
        <v>194</v>
      </c>
      <c r="AU238">
        <v>0</v>
      </c>
      <c r="AV238">
        <v>2</v>
      </c>
      <c r="AW238">
        <v>31</v>
      </c>
      <c r="AY238">
        <v>3</v>
      </c>
      <c r="AZ238">
        <f t="shared" si="7"/>
        <v>208</v>
      </c>
      <c r="BA238">
        <v>0</v>
      </c>
      <c r="BB238">
        <v>2</v>
      </c>
      <c r="BC238">
        <v>25</v>
      </c>
      <c r="BE238">
        <v>5</v>
      </c>
      <c r="BF238">
        <f t="shared" si="8"/>
        <v>220</v>
      </c>
      <c r="BG238">
        <v>0</v>
      </c>
      <c r="BH238">
        <v>3</v>
      </c>
      <c r="BI238">
        <v>22</v>
      </c>
      <c r="BK238">
        <v>3</v>
      </c>
      <c r="BL238">
        <f t="shared" si="9"/>
        <v>202</v>
      </c>
      <c r="BM238">
        <v>0</v>
      </c>
      <c r="BN238">
        <v>2</v>
      </c>
      <c r="BO238">
        <v>31</v>
      </c>
    </row>
    <row r="239" spans="5:67">
      <c r="E239" t="s">
        <v>70</v>
      </c>
      <c r="O239" t="s">
        <v>44</v>
      </c>
      <c r="W239">
        <v>8</v>
      </c>
      <c r="X239" s="4">
        <v>2</v>
      </c>
      <c r="Y239">
        <v>0</v>
      </c>
      <c r="Z239" s="4">
        <v>2</v>
      </c>
      <c r="AA239" s="4">
        <v>3</v>
      </c>
      <c r="AB239" s="4">
        <v>25</v>
      </c>
      <c r="AG239">
        <v>6</v>
      </c>
      <c r="AH239">
        <v>0</v>
      </c>
      <c r="AI239">
        <v>100</v>
      </c>
      <c r="AL239">
        <v>5</v>
      </c>
      <c r="AM239">
        <v>1</v>
      </c>
      <c r="AN239">
        <f t="shared" si="5"/>
        <v>195</v>
      </c>
      <c r="AO239">
        <v>0</v>
      </c>
      <c r="AP239">
        <v>1</v>
      </c>
      <c r="AQ239">
        <v>36</v>
      </c>
      <c r="AS239">
        <v>1</v>
      </c>
      <c r="AT239">
        <f t="shared" si="6"/>
        <v>195</v>
      </c>
      <c r="AU239">
        <v>0</v>
      </c>
      <c r="AV239">
        <v>1</v>
      </c>
      <c r="AW239">
        <v>30</v>
      </c>
      <c r="AY239">
        <v>3</v>
      </c>
      <c r="AZ239">
        <f t="shared" si="7"/>
        <v>211</v>
      </c>
      <c r="BA239">
        <v>0</v>
      </c>
      <c r="BB239">
        <v>2</v>
      </c>
      <c r="BC239">
        <v>23</v>
      </c>
      <c r="BE239">
        <v>5</v>
      </c>
      <c r="BF239">
        <f t="shared" si="8"/>
        <v>225</v>
      </c>
      <c r="BG239">
        <v>0</v>
      </c>
      <c r="BH239">
        <v>3</v>
      </c>
      <c r="BI239">
        <v>19</v>
      </c>
      <c r="BK239">
        <v>3</v>
      </c>
      <c r="BL239">
        <f t="shared" si="9"/>
        <v>205</v>
      </c>
      <c r="BM239">
        <v>0</v>
      </c>
      <c r="BN239">
        <v>2</v>
      </c>
      <c r="BO239">
        <v>29</v>
      </c>
    </row>
    <row r="240" spans="5:67">
      <c r="E240" t="s">
        <v>71</v>
      </c>
      <c r="O240" t="s">
        <v>45</v>
      </c>
      <c r="W240">
        <v>9</v>
      </c>
      <c r="X240" s="4">
        <v>2</v>
      </c>
      <c r="Y240">
        <v>0</v>
      </c>
      <c r="Z240" s="4">
        <v>2</v>
      </c>
      <c r="AA240" s="4">
        <v>3</v>
      </c>
      <c r="AB240" s="4">
        <v>23</v>
      </c>
      <c r="AG240">
        <v>7</v>
      </c>
      <c r="AH240">
        <v>0</v>
      </c>
      <c r="AI240">
        <v>100</v>
      </c>
      <c r="AL240">
        <v>6</v>
      </c>
      <c r="AM240">
        <v>3</v>
      </c>
      <c r="AN240">
        <f t="shared" si="5"/>
        <v>198</v>
      </c>
      <c r="AO240">
        <v>0</v>
      </c>
      <c r="AP240">
        <v>2</v>
      </c>
      <c r="AQ240">
        <v>34</v>
      </c>
      <c r="AS240">
        <v>1</v>
      </c>
      <c r="AT240">
        <f t="shared" si="6"/>
        <v>196</v>
      </c>
      <c r="AU240">
        <v>0</v>
      </c>
      <c r="AV240">
        <v>1</v>
      </c>
      <c r="AW240">
        <v>29</v>
      </c>
      <c r="AY240">
        <v>3</v>
      </c>
      <c r="AZ240">
        <f t="shared" si="7"/>
        <v>214</v>
      </c>
      <c r="BA240">
        <v>0</v>
      </c>
      <c r="BB240">
        <v>2</v>
      </c>
      <c r="BC240">
        <v>21</v>
      </c>
      <c r="BE240">
        <v>1</v>
      </c>
      <c r="BF240">
        <f t="shared" si="8"/>
        <v>226</v>
      </c>
      <c r="BG240">
        <v>0</v>
      </c>
      <c r="BH240">
        <v>1</v>
      </c>
      <c r="BI240">
        <v>18</v>
      </c>
      <c r="BK240">
        <v>3</v>
      </c>
      <c r="BL240">
        <f t="shared" si="9"/>
        <v>208</v>
      </c>
      <c r="BM240">
        <v>0</v>
      </c>
      <c r="BN240">
        <v>2</v>
      </c>
      <c r="BO240">
        <v>27</v>
      </c>
    </row>
    <row r="241" spans="5:67">
      <c r="E241" t="s">
        <v>72</v>
      </c>
      <c r="O241" t="s">
        <v>46</v>
      </c>
      <c r="W241">
        <v>10</v>
      </c>
      <c r="X241" s="4">
        <v>2</v>
      </c>
      <c r="Y241">
        <v>0</v>
      </c>
      <c r="Z241" s="4">
        <v>2</v>
      </c>
      <c r="AA241" s="4">
        <v>3</v>
      </c>
      <c r="AB241" s="4">
        <v>21</v>
      </c>
      <c r="AG241">
        <v>8</v>
      </c>
      <c r="AH241">
        <v>0</v>
      </c>
      <c r="AI241">
        <v>100</v>
      </c>
      <c r="AL241">
        <v>7</v>
      </c>
      <c r="AM241">
        <v>3</v>
      </c>
      <c r="AN241">
        <f t="shared" si="5"/>
        <v>201</v>
      </c>
      <c r="AO241">
        <v>0</v>
      </c>
      <c r="AP241">
        <v>2</v>
      </c>
      <c r="AQ241">
        <v>32</v>
      </c>
      <c r="AS241">
        <v>1</v>
      </c>
      <c r="AT241">
        <f t="shared" si="6"/>
        <v>197</v>
      </c>
      <c r="AU241">
        <v>0</v>
      </c>
      <c r="AV241">
        <v>1</v>
      </c>
      <c r="AW241">
        <v>28</v>
      </c>
      <c r="AY241">
        <v>3</v>
      </c>
      <c r="AZ241">
        <f t="shared" si="7"/>
        <v>217</v>
      </c>
      <c r="BA241">
        <v>0</v>
      </c>
      <c r="BB241">
        <v>2</v>
      </c>
      <c r="BC241">
        <v>19</v>
      </c>
      <c r="BE241">
        <v>1</v>
      </c>
      <c r="BF241">
        <f t="shared" si="8"/>
        <v>227</v>
      </c>
      <c r="BG241">
        <v>0</v>
      </c>
      <c r="BH241">
        <v>1</v>
      </c>
      <c r="BI241">
        <v>17</v>
      </c>
      <c r="BK241">
        <v>3</v>
      </c>
      <c r="BL241">
        <f t="shared" si="9"/>
        <v>211</v>
      </c>
      <c r="BM241">
        <v>0</v>
      </c>
      <c r="BN241">
        <v>2</v>
      </c>
      <c r="BO241">
        <v>25</v>
      </c>
    </row>
    <row r="242" spans="5:67">
      <c r="E242" t="s">
        <v>73</v>
      </c>
      <c r="O242" t="s">
        <v>47</v>
      </c>
      <c r="W242">
        <v>11</v>
      </c>
      <c r="X242" s="4">
        <v>2</v>
      </c>
      <c r="Y242">
        <v>0</v>
      </c>
      <c r="Z242" s="4">
        <v>2</v>
      </c>
      <c r="AA242" s="4">
        <v>3</v>
      </c>
      <c r="AB242" s="4">
        <v>19</v>
      </c>
      <c r="AG242">
        <v>9</v>
      </c>
      <c r="AH242">
        <v>0</v>
      </c>
      <c r="AI242">
        <v>100</v>
      </c>
      <c r="AL242">
        <v>8</v>
      </c>
      <c r="AM242">
        <v>5</v>
      </c>
      <c r="AN242">
        <f t="shared" si="5"/>
        <v>206</v>
      </c>
      <c r="AO242">
        <v>0</v>
      </c>
      <c r="AP242">
        <v>3</v>
      </c>
      <c r="AQ242">
        <v>29</v>
      </c>
      <c r="AS242">
        <v>6</v>
      </c>
      <c r="AT242">
        <f t="shared" si="6"/>
        <v>203</v>
      </c>
      <c r="AU242">
        <v>0</v>
      </c>
      <c r="AV242">
        <v>4</v>
      </c>
      <c r="AW242">
        <v>24</v>
      </c>
      <c r="AY242">
        <v>3</v>
      </c>
      <c r="AZ242">
        <f t="shared" si="7"/>
        <v>220</v>
      </c>
      <c r="BA242">
        <v>0</v>
      </c>
      <c r="BB242">
        <v>2</v>
      </c>
      <c r="BC242">
        <v>17</v>
      </c>
      <c r="BE242">
        <v>1</v>
      </c>
      <c r="BF242">
        <f t="shared" si="8"/>
        <v>228</v>
      </c>
      <c r="BG242">
        <v>0</v>
      </c>
      <c r="BH242">
        <v>1</v>
      </c>
      <c r="BI242">
        <v>16</v>
      </c>
      <c r="BK242">
        <v>3</v>
      </c>
      <c r="BL242">
        <f t="shared" si="9"/>
        <v>214</v>
      </c>
      <c r="BM242">
        <v>0</v>
      </c>
      <c r="BN242">
        <v>2</v>
      </c>
      <c r="BO242">
        <v>23</v>
      </c>
    </row>
    <row r="243" spans="5:67">
      <c r="E243" t="s">
        <v>74</v>
      </c>
      <c r="O243" t="s">
        <v>48</v>
      </c>
      <c r="W243">
        <v>12</v>
      </c>
      <c r="X243" s="4">
        <v>2</v>
      </c>
      <c r="Y243">
        <v>0</v>
      </c>
      <c r="Z243" s="4">
        <v>2</v>
      </c>
      <c r="AA243" s="4">
        <v>3</v>
      </c>
      <c r="AB243" s="4">
        <v>17</v>
      </c>
      <c r="AG243">
        <v>10</v>
      </c>
      <c r="AH243">
        <v>0</v>
      </c>
      <c r="AI243">
        <v>100</v>
      </c>
      <c r="AL243">
        <v>9</v>
      </c>
      <c r="AM243">
        <v>6</v>
      </c>
      <c r="AN243">
        <f t="shared" si="5"/>
        <v>212</v>
      </c>
      <c r="AO243">
        <v>0</v>
      </c>
      <c r="AP243">
        <v>4</v>
      </c>
      <c r="AQ243">
        <v>25</v>
      </c>
      <c r="AS243">
        <v>6</v>
      </c>
      <c r="AT243">
        <f t="shared" si="6"/>
        <v>209</v>
      </c>
      <c r="AU243">
        <v>0</v>
      </c>
      <c r="AV243">
        <v>4</v>
      </c>
      <c r="AW243">
        <v>20</v>
      </c>
      <c r="AY243">
        <v>3</v>
      </c>
      <c r="AZ243">
        <f t="shared" si="7"/>
        <v>223</v>
      </c>
      <c r="BA243">
        <v>0</v>
      </c>
      <c r="BB243">
        <v>2</v>
      </c>
      <c r="BC243">
        <v>15</v>
      </c>
      <c r="BE243">
        <v>1</v>
      </c>
      <c r="BF243">
        <f t="shared" si="8"/>
        <v>229</v>
      </c>
      <c r="BG243">
        <v>0</v>
      </c>
      <c r="BH243">
        <v>1</v>
      </c>
      <c r="BI243">
        <v>15</v>
      </c>
      <c r="BK243">
        <v>3</v>
      </c>
      <c r="BL243">
        <f t="shared" si="9"/>
        <v>217</v>
      </c>
      <c r="BM243">
        <v>0</v>
      </c>
      <c r="BN243">
        <v>2</v>
      </c>
      <c r="BO243">
        <v>21</v>
      </c>
    </row>
    <row r="244" spans="5:67">
      <c r="E244" t="s">
        <v>75</v>
      </c>
      <c r="O244" t="s">
        <v>49</v>
      </c>
      <c r="W244">
        <v>13</v>
      </c>
      <c r="X244" s="4">
        <v>2</v>
      </c>
      <c r="Y244">
        <v>0</v>
      </c>
      <c r="Z244" s="4">
        <v>2</v>
      </c>
      <c r="AA244" s="4">
        <v>3</v>
      </c>
      <c r="AB244" s="4">
        <v>15</v>
      </c>
      <c r="AG244">
        <v>11</v>
      </c>
      <c r="AH244">
        <v>0</v>
      </c>
      <c r="AI244">
        <v>100</v>
      </c>
      <c r="AL244">
        <v>10</v>
      </c>
      <c r="AM244">
        <v>3</v>
      </c>
      <c r="AN244">
        <f t="shared" si="5"/>
        <v>215</v>
      </c>
      <c r="AO244">
        <v>0</v>
      </c>
      <c r="AP244">
        <v>2</v>
      </c>
      <c r="AQ244">
        <v>23</v>
      </c>
      <c r="AS244">
        <v>3</v>
      </c>
      <c r="AT244">
        <f t="shared" si="6"/>
        <v>212</v>
      </c>
      <c r="AU244">
        <v>0</v>
      </c>
      <c r="AV244">
        <v>2</v>
      </c>
      <c r="AW244">
        <v>18</v>
      </c>
      <c r="AY244">
        <v>1</v>
      </c>
      <c r="AZ244">
        <f t="shared" si="7"/>
        <v>224</v>
      </c>
      <c r="BA244">
        <v>0</v>
      </c>
      <c r="BB244">
        <v>1</v>
      </c>
      <c r="BC244">
        <v>14</v>
      </c>
      <c r="BE244">
        <v>1</v>
      </c>
      <c r="BF244">
        <f t="shared" si="8"/>
        <v>230</v>
      </c>
      <c r="BG244">
        <v>0</v>
      </c>
      <c r="BH244">
        <v>1</v>
      </c>
      <c r="BI244">
        <v>14</v>
      </c>
      <c r="BK244">
        <v>3</v>
      </c>
      <c r="BL244">
        <f t="shared" si="9"/>
        <v>220</v>
      </c>
      <c r="BM244">
        <v>0</v>
      </c>
      <c r="BN244">
        <v>2</v>
      </c>
      <c r="BO244">
        <v>19</v>
      </c>
    </row>
    <row r="245" spans="5:67">
      <c r="E245" t="s">
        <v>76</v>
      </c>
      <c r="O245" t="s">
        <v>50</v>
      </c>
      <c r="W245">
        <v>14</v>
      </c>
      <c r="X245" s="4">
        <v>2</v>
      </c>
      <c r="Y245">
        <v>0</v>
      </c>
      <c r="Z245" s="4">
        <v>2</v>
      </c>
      <c r="AA245" s="4">
        <v>3</v>
      </c>
      <c r="AB245" s="4">
        <v>13</v>
      </c>
      <c r="AG245">
        <v>12</v>
      </c>
      <c r="AH245">
        <v>0</v>
      </c>
      <c r="AI245">
        <v>100</v>
      </c>
      <c r="AL245">
        <v>11</v>
      </c>
      <c r="AM245">
        <v>6</v>
      </c>
      <c r="AN245">
        <f t="shared" si="5"/>
        <v>221</v>
      </c>
      <c r="AO245">
        <v>0</v>
      </c>
      <c r="AP245">
        <v>4</v>
      </c>
      <c r="AQ245">
        <v>19</v>
      </c>
      <c r="AS245">
        <v>1</v>
      </c>
      <c r="AT245">
        <f t="shared" si="6"/>
        <v>213</v>
      </c>
      <c r="AU245">
        <v>0</v>
      </c>
      <c r="AV245">
        <v>1</v>
      </c>
      <c r="AW245">
        <v>17</v>
      </c>
      <c r="AY245">
        <v>1</v>
      </c>
      <c r="AZ245">
        <f t="shared" si="7"/>
        <v>225</v>
      </c>
      <c r="BA245">
        <v>0</v>
      </c>
      <c r="BB245">
        <v>1</v>
      </c>
      <c r="BC245">
        <v>13</v>
      </c>
      <c r="BE245">
        <v>1</v>
      </c>
      <c r="BF245">
        <f t="shared" si="8"/>
        <v>231</v>
      </c>
      <c r="BG245">
        <v>0</v>
      </c>
      <c r="BH245">
        <v>1</v>
      </c>
      <c r="BI245">
        <v>13</v>
      </c>
      <c r="BK245">
        <v>3</v>
      </c>
      <c r="BL245">
        <f t="shared" si="9"/>
        <v>223</v>
      </c>
      <c r="BM245">
        <v>0</v>
      </c>
      <c r="BN245">
        <v>2</v>
      </c>
      <c r="BO245">
        <v>17</v>
      </c>
    </row>
    <row r="246" spans="5:67">
      <c r="E246" t="s">
        <v>77</v>
      </c>
      <c r="O246" t="s">
        <v>51</v>
      </c>
      <c r="W246">
        <v>15</v>
      </c>
      <c r="X246" s="4">
        <v>2</v>
      </c>
      <c r="Y246">
        <v>1</v>
      </c>
      <c r="Z246" s="4">
        <v>2</v>
      </c>
      <c r="AA246" s="4">
        <v>3</v>
      </c>
      <c r="AB246" s="4">
        <v>11</v>
      </c>
      <c r="AG246">
        <v>13</v>
      </c>
      <c r="AH246">
        <v>0</v>
      </c>
      <c r="AI246">
        <v>100</v>
      </c>
      <c r="AL246">
        <v>12</v>
      </c>
      <c r="AM246">
        <v>6</v>
      </c>
      <c r="AN246">
        <f t="shared" si="5"/>
        <v>227</v>
      </c>
      <c r="AO246">
        <v>0</v>
      </c>
      <c r="AP246">
        <v>4</v>
      </c>
      <c r="AQ246">
        <v>15</v>
      </c>
      <c r="AS246">
        <v>1</v>
      </c>
      <c r="AT246">
        <f t="shared" si="6"/>
        <v>214</v>
      </c>
      <c r="AU246">
        <v>0</v>
      </c>
      <c r="AV246">
        <v>1</v>
      </c>
      <c r="AW246">
        <v>16</v>
      </c>
      <c r="AY246">
        <v>1</v>
      </c>
      <c r="AZ246">
        <f t="shared" si="7"/>
        <v>226</v>
      </c>
      <c r="BA246">
        <v>0</v>
      </c>
      <c r="BB246">
        <v>1</v>
      </c>
      <c r="BC246">
        <v>12</v>
      </c>
      <c r="BE246">
        <v>1</v>
      </c>
      <c r="BF246">
        <f t="shared" si="8"/>
        <v>232</v>
      </c>
      <c r="BG246">
        <v>0</v>
      </c>
      <c r="BH246">
        <v>1</v>
      </c>
      <c r="BI246">
        <v>12</v>
      </c>
      <c r="BK246">
        <v>3</v>
      </c>
      <c r="BL246">
        <f t="shared" si="9"/>
        <v>226</v>
      </c>
      <c r="BM246">
        <v>0</v>
      </c>
      <c r="BN246">
        <v>2</v>
      </c>
      <c r="BO246">
        <v>15</v>
      </c>
    </row>
    <row r="247" spans="5:67">
      <c r="E247" t="s">
        <v>78</v>
      </c>
      <c r="O247" t="s">
        <v>52</v>
      </c>
      <c r="W247">
        <v>16</v>
      </c>
      <c r="X247" s="4">
        <v>2</v>
      </c>
      <c r="Y247">
        <v>3</v>
      </c>
      <c r="Z247" s="4">
        <v>2</v>
      </c>
      <c r="AA247" s="4">
        <v>3</v>
      </c>
      <c r="AB247" s="4">
        <v>10</v>
      </c>
      <c r="AG247">
        <v>14</v>
      </c>
      <c r="AH247">
        <v>0</v>
      </c>
      <c r="AI247">
        <v>100</v>
      </c>
      <c r="AL247">
        <v>13</v>
      </c>
      <c r="AM247">
        <v>5</v>
      </c>
      <c r="AN247">
        <f t="shared" si="5"/>
        <v>232</v>
      </c>
      <c r="AO247">
        <v>0</v>
      </c>
      <c r="AP247">
        <v>3</v>
      </c>
      <c r="AQ247">
        <v>12</v>
      </c>
      <c r="AS247">
        <v>6</v>
      </c>
      <c r="AT247">
        <f t="shared" si="6"/>
        <v>220</v>
      </c>
      <c r="AU247">
        <v>0</v>
      </c>
      <c r="AV247">
        <v>4</v>
      </c>
      <c r="AW247">
        <v>12</v>
      </c>
      <c r="AY247">
        <v>1</v>
      </c>
      <c r="AZ247">
        <f t="shared" si="7"/>
        <v>227</v>
      </c>
      <c r="BA247">
        <v>0</v>
      </c>
      <c r="BB247">
        <v>1</v>
      </c>
      <c r="BC247">
        <v>11</v>
      </c>
      <c r="BE247">
        <v>1</v>
      </c>
      <c r="BF247">
        <f t="shared" si="8"/>
        <v>233</v>
      </c>
      <c r="BG247">
        <v>0</v>
      </c>
      <c r="BH247">
        <v>1</v>
      </c>
      <c r="BI247">
        <v>11</v>
      </c>
      <c r="BK247">
        <v>3</v>
      </c>
      <c r="BL247">
        <f t="shared" si="9"/>
        <v>229</v>
      </c>
      <c r="BM247">
        <v>0</v>
      </c>
      <c r="BN247">
        <v>2</v>
      </c>
      <c r="BO247">
        <v>13</v>
      </c>
    </row>
    <row r="248" spans="5:67">
      <c r="E248" t="s">
        <v>79</v>
      </c>
      <c r="O248" t="s">
        <v>53</v>
      </c>
      <c r="W248">
        <v>17</v>
      </c>
      <c r="X248" s="4">
        <v>4</v>
      </c>
      <c r="Y248">
        <v>5</v>
      </c>
      <c r="Z248" s="4">
        <v>6</v>
      </c>
      <c r="AA248" s="4">
        <v>9</v>
      </c>
      <c r="AB248" s="4">
        <v>11</v>
      </c>
      <c r="AG248">
        <v>15</v>
      </c>
      <c r="AH248">
        <v>0</v>
      </c>
      <c r="AI248">
        <v>100</v>
      </c>
      <c r="AL248">
        <v>14</v>
      </c>
      <c r="AM248">
        <v>1</v>
      </c>
      <c r="AN248">
        <f t="shared" si="5"/>
        <v>233</v>
      </c>
      <c r="AO248">
        <v>0</v>
      </c>
      <c r="AP248">
        <v>1</v>
      </c>
      <c r="AQ248">
        <v>11</v>
      </c>
      <c r="AS248">
        <v>1</v>
      </c>
      <c r="AT248">
        <f t="shared" si="6"/>
        <v>221</v>
      </c>
      <c r="AU248">
        <v>0</v>
      </c>
      <c r="AV248">
        <v>1</v>
      </c>
      <c r="AW248">
        <v>11</v>
      </c>
      <c r="AY248">
        <v>1</v>
      </c>
      <c r="AZ248">
        <f t="shared" si="7"/>
        <v>228</v>
      </c>
      <c r="BA248">
        <v>0</v>
      </c>
      <c r="BB248">
        <v>1</v>
      </c>
      <c r="BC248">
        <v>10</v>
      </c>
      <c r="BE248">
        <v>1</v>
      </c>
      <c r="BF248">
        <f t="shared" si="8"/>
        <v>234</v>
      </c>
      <c r="BG248">
        <v>0</v>
      </c>
      <c r="BH248">
        <v>1</v>
      </c>
      <c r="BI248">
        <v>10</v>
      </c>
      <c r="BK248">
        <v>3</v>
      </c>
      <c r="BL248">
        <f t="shared" si="9"/>
        <v>232</v>
      </c>
      <c r="BM248">
        <v>0</v>
      </c>
      <c r="BN248">
        <v>2</v>
      </c>
      <c r="BO248">
        <v>11</v>
      </c>
    </row>
    <row r="249" spans="5:67">
      <c r="E249" t="s">
        <v>80</v>
      </c>
      <c r="O249" t="s">
        <v>54</v>
      </c>
      <c r="W249">
        <v>18</v>
      </c>
      <c r="X249" s="4">
        <v>4</v>
      </c>
      <c r="Y249">
        <v>7</v>
      </c>
      <c r="Z249" s="4">
        <v>6</v>
      </c>
      <c r="AA249" s="4">
        <v>9</v>
      </c>
      <c r="AB249" s="4">
        <v>10</v>
      </c>
      <c r="AG249">
        <v>16</v>
      </c>
      <c r="AH249">
        <v>0</v>
      </c>
      <c r="AI249">
        <v>100</v>
      </c>
      <c r="AL249">
        <v>15</v>
      </c>
      <c r="AM249">
        <v>3</v>
      </c>
      <c r="AN249">
        <f t="shared" si="5"/>
        <v>236</v>
      </c>
      <c r="AO249">
        <v>1</v>
      </c>
      <c r="AP249">
        <v>2</v>
      </c>
      <c r="AQ249">
        <v>10</v>
      </c>
      <c r="AS249">
        <v>1</v>
      </c>
      <c r="AT249">
        <f t="shared" si="6"/>
        <v>222</v>
      </c>
      <c r="AU249">
        <v>1</v>
      </c>
      <c r="AV249">
        <v>1</v>
      </c>
      <c r="AW249">
        <v>11</v>
      </c>
      <c r="AY249">
        <v>1</v>
      </c>
      <c r="AZ249">
        <f t="shared" si="7"/>
        <v>229</v>
      </c>
      <c r="BA249">
        <v>1</v>
      </c>
      <c r="BB249">
        <v>1</v>
      </c>
      <c r="BC249">
        <v>10</v>
      </c>
      <c r="BE249">
        <v>1</v>
      </c>
      <c r="BF249">
        <f t="shared" si="8"/>
        <v>235</v>
      </c>
      <c r="BG249">
        <v>1</v>
      </c>
      <c r="BH249">
        <v>1</v>
      </c>
      <c r="BI249">
        <v>10</v>
      </c>
      <c r="BK249">
        <v>3</v>
      </c>
      <c r="BL249">
        <f t="shared" si="9"/>
        <v>235</v>
      </c>
      <c r="BM249">
        <v>1</v>
      </c>
      <c r="BN249">
        <v>2</v>
      </c>
      <c r="BO249">
        <v>10</v>
      </c>
    </row>
    <row r="250" spans="5:67">
      <c r="E250" t="s">
        <v>81</v>
      </c>
      <c r="O250" t="s">
        <v>55</v>
      </c>
      <c r="W250">
        <v>19</v>
      </c>
      <c r="X250" s="4">
        <v>4</v>
      </c>
      <c r="Y250">
        <v>9</v>
      </c>
      <c r="Z250" s="4">
        <v>6</v>
      </c>
      <c r="AA250" s="4">
        <v>9</v>
      </c>
      <c r="AB250" s="4">
        <v>11</v>
      </c>
      <c r="AG250">
        <v>17</v>
      </c>
      <c r="AH250">
        <v>0</v>
      </c>
      <c r="AI250">
        <v>100</v>
      </c>
      <c r="AL250">
        <v>16</v>
      </c>
      <c r="AM250">
        <v>1</v>
      </c>
      <c r="AN250">
        <f t="shared" si="5"/>
        <v>237</v>
      </c>
      <c r="AO250">
        <v>3</v>
      </c>
      <c r="AP250">
        <v>1</v>
      </c>
      <c r="AQ250">
        <v>12</v>
      </c>
      <c r="AS250">
        <v>3</v>
      </c>
      <c r="AT250">
        <f t="shared" si="6"/>
        <v>225</v>
      </c>
      <c r="AU250">
        <v>3</v>
      </c>
      <c r="AV250">
        <v>2</v>
      </c>
      <c r="AW250">
        <v>12</v>
      </c>
      <c r="AY250">
        <v>3</v>
      </c>
      <c r="AZ250">
        <f t="shared" si="7"/>
        <v>232</v>
      </c>
      <c r="BA250">
        <v>3</v>
      </c>
      <c r="BB250">
        <v>2</v>
      </c>
      <c r="BC250">
        <v>11</v>
      </c>
      <c r="BE250">
        <v>5</v>
      </c>
      <c r="BF250">
        <f t="shared" si="8"/>
        <v>240</v>
      </c>
      <c r="BG250">
        <v>3</v>
      </c>
      <c r="BH250">
        <v>3</v>
      </c>
      <c r="BI250">
        <v>10</v>
      </c>
      <c r="BK250">
        <v>3</v>
      </c>
      <c r="BL250">
        <f t="shared" si="9"/>
        <v>238</v>
      </c>
      <c r="BM250">
        <v>3</v>
      </c>
      <c r="BN250">
        <v>2</v>
      </c>
      <c r="BO250">
        <v>11</v>
      </c>
    </row>
    <row r="251" spans="5:67">
      <c r="E251" t="s">
        <v>82</v>
      </c>
      <c r="O251" t="s">
        <v>56</v>
      </c>
      <c r="W251">
        <v>20</v>
      </c>
      <c r="X251" s="4">
        <v>4</v>
      </c>
      <c r="Y251">
        <v>10</v>
      </c>
      <c r="Z251" s="4">
        <v>6</v>
      </c>
      <c r="AA251" s="4">
        <v>9</v>
      </c>
      <c r="AB251" s="4">
        <v>14</v>
      </c>
      <c r="AG251">
        <v>18</v>
      </c>
      <c r="AH251">
        <v>0</v>
      </c>
      <c r="AI251">
        <v>100</v>
      </c>
      <c r="AL251">
        <v>17</v>
      </c>
      <c r="AM251">
        <v>7</v>
      </c>
      <c r="AN251">
        <f t="shared" si="5"/>
        <v>244</v>
      </c>
      <c r="AO251">
        <v>5</v>
      </c>
      <c r="AP251">
        <v>5</v>
      </c>
      <c r="AQ251">
        <v>12</v>
      </c>
      <c r="AS251">
        <v>5</v>
      </c>
      <c r="AT251">
        <f t="shared" si="6"/>
        <v>230</v>
      </c>
      <c r="AU251">
        <v>5</v>
      </c>
      <c r="AV251">
        <v>3</v>
      </c>
      <c r="AW251">
        <v>14</v>
      </c>
      <c r="AY251">
        <v>3</v>
      </c>
      <c r="AZ251">
        <f t="shared" si="7"/>
        <v>235</v>
      </c>
      <c r="BA251">
        <v>5</v>
      </c>
      <c r="BB251">
        <v>2</v>
      </c>
      <c r="BC251">
        <v>14</v>
      </c>
      <c r="BE251">
        <v>6</v>
      </c>
      <c r="BF251">
        <f t="shared" si="8"/>
        <v>246</v>
      </c>
      <c r="BG251">
        <v>5</v>
      </c>
      <c r="BH251">
        <v>4</v>
      </c>
      <c r="BI251">
        <v>11</v>
      </c>
      <c r="BK251">
        <v>3</v>
      </c>
      <c r="BL251">
        <f t="shared" si="9"/>
        <v>241</v>
      </c>
      <c r="BM251">
        <v>5</v>
      </c>
      <c r="BN251">
        <v>2</v>
      </c>
      <c r="BO251">
        <v>14</v>
      </c>
    </row>
    <row r="252" spans="5:67">
      <c r="E252" t="s">
        <v>83</v>
      </c>
      <c r="O252" t="s">
        <v>57</v>
      </c>
      <c r="W252">
        <v>21</v>
      </c>
      <c r="X252" s="4">
        <v>4</v>
      </c>
      <c r="Y252">
        <v>10</v>
      </c>
      <c r="Z252" s="4">
        <v>6</v>
      </c>
      <c r="AA252" s="4">
        <v>9</v>
      </c>
      <c r="AB252" s="4">
        <v>18</v>
      </c>
      <c r="AG252">
        <v>19</v>
      </c>
      <c r="AH252">
        <v>0</v>
      </c>
      <c r="AI252">
        <v>100</v>
      </c>
      <c r="AL252">
        <v>18</v>
      </c>
      <c r="AM252">
        <v>10</v>
      </c>
      <c r="AN252">
        <f t="shared" si="5"/>
        <v>254</v>
      </c>
      <c r="AO252">
        <v>7</v>
      </c>
      <c r="AP252">
        <v>8</v>
      </c>
      <c r="AQ252">
        <v>11</v>
      </c>
      <c r="AS252">
        <v>6</v>
      </c>
      <c r="AT252">
        <f t="shared" si="6"/>
        <v>236</v>
      </c>
      <c r="AU252">
        <v>7</v>
      </c>
      <c r="AV252">
        <v>4</v>
      </c>
      <c r="AW252">
        <v>17</v>
      </c>
      <c r="AY252">
        <v>3</v>
      </c>
      <c r="AZ252">
        <f t="shared" si="7"/>
        <v>238</v>
      </c>
      <c r="BA252">
        <v>7</v>
      </c>
      <c r="BB252">
        <v>2</v>
      </c>
      <c r="BC252">
        <v>19</v>
      </c>
      <c r="BE252">
        <v>6</v>
      </c>
      <c r="BF252">
        <f t="shared" si="8"/>
        <v>252</v>
      </c>
      <c r="BG252">
        <v>7</v>
      </c>
      <c r="BH252">
        <v>4</v>
      </c>
      <c r="BI252">
        <v>14</v>
      </c>
      <c r="BK252">
        <v>10</v>
      </c>
      <c r="BL252">
        <f t="shared" si="9"/>
        <v>251</v>
      </c>
      <c r="BM252">
        <v>7</v>
      </c>
      <c r="BN252">
        <v>8</v>
      </c>
      <c r="BO252">
        <v>13</v>
      </c>
    </row>
    <row r="253" spans="5:67">
      <c r="E253" t="s">
        <v>84</v>
      </c>
      <c r="O253" t="s">
        <v>58</v>
      </c>
      <c r="W253">
        <v>22</v>
      </c>
      <c r="X253" s="4">
        <v>4</v>
      </c>
      <c r="Y253">
        <v>9</v>
      </c>
      <c r="Z253" s="4">
        <v>6</v>
      </c>
      <c r="AA253" s="4">
        <v>9</v>
      </c>
      <c r="AB253" s="4">
        <v>22</v>
      </c>
      <c r="AG253">
        <v>20</v>
      </c>
      <c r="AH253">
        <v>0</v>
      </c>
      <c r="AI253">
        <v>100</v>
      </c>
      <c r="AL253">
        <v>19</v>
      </c>
      <c r="AM253">
        <v>10</v>
      </c>
      <c r="AN253">
        <f t="shared" si="5"/>
        <v>264</v>
      </c>
      <c r="AO253">
        <v>9</v>
      </c>
      <c r="AP253">
        <v>8</v>
      </c>
      <c r="AQ253">
        <v>12</v>
      </c>
      <c r="AS253">
        <v>6</v>
      </c>
      <c r="AT253">
        <f t="shared" si="6"/>
        <v>242</v>
      </c>
      <c r="AU253">
        <v>9</v>
      </c>
      <c r="AV253">
        <v>4</v>
      </c>
      <c r="AW253">
        <v>22</v>
      </c>
      <c r="AY253">
        <v>3</v>
      </c>
      <c r="AZ253">
        <f t="shared" si="7"/>
        <v>241</v>
      </c>
      <c r="BA253">
        <v>9</v>
      </c>
      <c r="BB253">
        <v>2</v>
      </c>
      <c r="BC253">
        <v>26</v>
      </c>
      <c r="BE253">
        <v>6</v>
      </c>
      <c r="BF253">
        <f t="shared" si="8"/>
        <v>258</v>
      </c>
      <c r="BG253">
        <v>9</v>
      </c>
      <c r="BH253">
        <v>4</v>
      </c>
      <c r="BI253">
        <v>19</v>
      </c>
      <c r="BK253">
        <v>10</v>
      </c>
      <c r="BL253">
        <f t="shared" si="9"/>
        <v>261</v>
      </c>
      <c r="BM253">
        <v>9</v>
      </c>
      <c r="BN253">
        <v>8</v>
      </c>
      <c r="BO253">
        <v>14</v>
      </c>
    </row>
    <row r="254" spans="5:67">
      <c r="E254" t="s">
        <v>85</v>
      </c>
      <c r="O254" t="s">
        <v>59</v>
      </c>
      <c r="W254">
        <v>23</v>
      </c>
      <c r="X254" s="4">
        <v>4</v>
      </c>
      <c r="Y254">
        <v>8</v>
      </c>
      <c r="Z254" s="4">
        <v>6</v>
      </c>
      <c r="AA254" s="4">
        <v>9</v>
      </c>
      <c r="AB254" s="4">
        <v>25</v>
      </c>
      <c r="AG254">
        <v>21</v>
      </c>
      <c r="AH254">
        <v>0</v>
      </c>
      <c r="AI254">
        <v>100</v>
      </c>
      <c r="AL254">
        <v>20</v>
      </c>
      <c r="AM254">
        <v>5</v>
      </c>
      <c r="AN254">
        <f t="shared" si="5"/>
        <v>269</v>
      </c>
      <c r="AO254">
        <v>10</v>
      </c>
      <c r="AP254">
        <v>3</v>
      </c>
      <c r="AQ254">
        <v>19</v>
      </c>
      <c r="AS254">
        <v>6</v>
      </c>
      <c r="AT254">
        <f t="shared" si="6"/>
        <v>248</v>
      </c>
      <c r="AU254">
        <v>10</v>
      </c>
      <c r="AV254">
        <v>4</v>
      </c>
      <c r="AW254">
        <v>28</v>
      </c>
      <c r="AY254">
        <v>7</v>
      </c>
      <c r="AZ254">
        <f t="shared" si="7"/>
        <v>248</v>
      </c>
      <c r="BA254">
        <v>10</v>
      </c>
      <c r="BB254">
        <v>5</v>
      </c>
      <c r="BC254">
        <v>31</v>
      </c>
      <c r="BE254">
        <v>6</v>
      </c>
      <c r="BF254">
        <f t="shared" si="8"/>
        <v>264</v>
      </c>
      <c r="BG254">
        <v>10</v>
      </c>
      <c r="BH254">
        <v>4</v>
      </c>
      <c r="BI254">
        <v>25</v>
      </c>
      <c r="BK254">
        <v>7</v>
      </c>
      <c r="BL254">
        <f t="shared" si="9"/>
        <v>268</v>
      </c>
      <c r="BM254">
        <v>10</v>
      </c>
      <c r="BN254">
        <v>5</v>
      </c>
      <c r="BO254">
        <v>19</v>
      </c>
    </row>
    <row r="255" spans="5:67">
      <c r="E255" t="s">
        <v>86</v>
      </c>
      <c r="O255" t="s">
        <v>60</v>
      </c>
      <c r="W255">
        <v>24</v>
      </c>
      <c r="X255" s="4">
        <v>2</v>
      </c>
      <c r="Y255">
        <v>6</v>
      </c>
      <c r="Z255" s="4">
        <v>2</v>
      </c>
      <c r="AA255" s="4">
        <v>3</v>
      </c>
      <c r="AB255" s="4">
        <v>27</v>
      </c>
      <c r="AG255">
        <v>22</v>
      </c>
      <c r="AH255">
        <v>0</v>
      </c>
      <c r="AI255">
        <v>100</v>
      </c>
      <c r="AL255">
        <v>21</v>
      </c>
      <c r="AM255">
        <v>6</v>
      </c>
      <c r="AN255">
        <f t="shared" si="5"/>
        <v>275</v>
      </c>
      <c r="AO255">
        <v>10</v>
      </c>
      <c r="AP255">
        <v>4</v>
      </c>
      <c r="AQ255">
        <v>25</v>
      </c>
      <c r="AS255">
        <v>7</v>
      </c>
      <c r="AT255">
        <f t="shared" si="6"/>
        <v>255</v>
      </c>
      <c r="AU255">
        <v>10</v>
      </c>
      <c r="AV255">
        <v>5</v>
      </c>
      <c r="AW255">
        <v>33</v>
      </c>
      <c r="AY255">
        <v>10</v>
      </c>
      <c r="AZ255">
        <f t="shared" si="7"/>
        <v>258</v>
      </c>
      <c r="BA255">
        <v>10</v>
      </c>
      <c r="BB255">
        <v>8</v>
      </c>
      <c r="BC255">
        <v>33</v>
      </c>
      <c r="BE255">
        <v>6</v>
      </c>
      <c r="BF255">
        <f t="shared" si="8"/>
        <v>270</v>
      </c>
      <c r="BG255">
        <v>10</v>
      </c>
      <c r="BH255">
        <v>4</v>
      </c>
      <c r="BI255">
        <v>31</v>
      </c>
      <c r="BK255">
        <v>7</v>
      </c>
      <c r="BL255">
        <f t="shared" si="9"/>
        <v>275</v>
      </c>
      <c r="BM255">
        <v>10</v>
      </c>
      <c r="BN255">
        <v>5</v>
      </c>
      <c r="BO255">
        <v>24</v>
      </c>
    </row>
    <row r="256" spans="5:67">
      <c r="E256" t="s">
        <v>87</v>
      </c>
      <c r="O256" t="s">
        <v>61</v>
      </c>
      <c r="AA256">
        <f>SUM(AA232:AA255)</f>
        <v>104</v>
      </c>
      <c r="AB256" s="4">
        <v>31</v>
      </c>
      <c r="AG256">
        <v>23</v>
      </c>
      <c r="AH256">
        <v>0</v>
      </c>
      <c r="AI256">
        <v>100</v>
      </c>
      <c r="AL256">
        <v>22</v>
      </c>
      <c r="AM256">
        <v>7</v>
      </c>
      <c r="AN256">
        <f t="shared" si="5"/>
        <v>282</v>
      </c>
      <c r="AO256">
        <v>9</v>
      </c>
      <c r="AP256">
        <v>5</v>
      </c>
      <c r="AQ256">
        <v>29</v>
      </c>
      <c r="AS256">
        <v>10</v>
      </c>
      <c r="AT256">
        <f t="shared" si="6"/>
        <v>265</v>
      </c>
      <c r="AU256">
        <v>9</v>
      </c>
      <c r="AV256">
        <v>8</v>
      </c>
      <c r="AW256">
        <v>34</v>
      </c>
      <c r="AY256">
        <v>10</v>
      </c>
      <c r="AZ256">
        <f t="shared" si="7"/>
        <v>268</v>
      </c>
      <c r="BA256">
        <v>9</v>
      </c>
      <c r="BB256">
        <v>8</v>
      </c>
      <c r="BC256">
        <v>34</v>
      </c>
      <c r="BE256">
        <v>10</v>
      </c>
      <c r="BF256">
        <f t="shared" si="8"/>
        <v>280</v>
      </c>
      <c r="BG256">
        <v>9</v>
      </c>
      <c r="BH256">
        <v>8</v>
      </c>
      <c r="BI256">
        <v>32</v>
      </c>
      <c r="BK256">
        <v>7</v>
      </c>
      <c r="BL256">
        <f t="shared" si="9"/>
        <v>282</v>
      </c>
      <c r="BM256">
        <v>9</v>
      </c>
      <c r="BN256">
        <v>5</v>
      </c>
      <c r="BO256">
        <v>28</v>
      </c>
    </row>
    <row r="257" spans="4:67">
      <c r="E257" t="s">
        <v>88</v>
      </c>
      <c r="O257" t="s">
        <v>62</v>
      </c>
      <c r="AG257">
        <v>24</v>
      </c>
      <c r="AH257">
        <v>0</v>
      </c>
      <c r="AI257">
        <v>100</v>
      </c>
      <c r="AL257">
        <v>23</v>
      </c>
      <c r="AM257">
        <v>5</v>
      </c>
      <c r="AN257">
        <f t="shared" si="5"/>
        <v>287</v>
      </c>
      <c r="AO257">
        <v>8</v>
      </c>
      <c r="AP257">
        <v>3</v>
      </c>
      <c r="AQ257">
        <v>34</v>
      </c>
      <c r="AS257">
        <v>10</v>
      </c>
      <c r="AT257">
        <f t="shared" si="6"/>
        <v>275</v>
      </c>
      <c r="AU257">
        <v>8</v>
      </c>
      <c r="AV257">
        <v>8</v>
      </c>
      <c r="AW257">
        <v>34</v>
      </c>
      <c r="AY257">
        <v>10</v>
      </c>
      <c r="AZ257">
        <f t="shared" si="7"/>
        <v>278</v>
      </c>
      <c r="BA257">
        <v>8</v>
      </c>
      <c r="BB257">
        <v>8</v>
      </c>
      <c r="BC257">
        <v>34</v>
      </c>
      <c r="BE257">
        <v>10</v>
      </c>
      <c r="BF257">
        <f t="shared" si="8"/>
        <v>290</v>
      </c>
      <c r="BG257">
        <v>8</v>
      </c>
      <c r="BH257">
        <v>8</v>
      </c>
      <c r="BI257">
        <v>32</v>
      </c>
      <c r="BK257">
        <v>7</v>
      </c>
      <c r="BL257">
        <f t="shared" si="9"/>
        <v>289</v>
      </c>
      <c r="BM257">
        <v>8</v>
      </c>
      <c r="BN257">
        <v>5</v>
      </c>
      <c r="BO257">
        <v>31</v>
      </c>
    </row>
    <row r="258" spans="4:67">
      <c r="E258" t="s">
        <v>89</v>
      </c>
      <c r="O258" t="s">
        <v>63</v>
      </c>
      <c r="AL258">
        <v>24</v>
      </c>
      <c r="AM258">
        <v>3</v>
      </c>
      <c r="AN258">
        <f t="shared" si="5"/>
        <v>290</v>
      </c>
      <c r="AO258">
        <v>6</v>
      </c>
      <c r="AP258">
        <v>2</v>
      </c>
      <c r="AQ258">
        <v>38</v>
      </c>
      <c r="AS258">
        <v>10</v>
      </c>
      <c r="AT258">
        <f t="shared" si="6"/>
        <v>285</v>
      </c>
      <c r="AU258">
        <v>6</v>
      </c>
      <c r="AV258">
        <v>8</v>
      </c>
      <c r="AW258">
        <v>32</v>
      </c>
      <c r="AY258">
        <v>10</v>
      </c>
      <c r="AZ258">
        <f t="shared" si="7"/>
        <v>288</v>
      </c>
      <c r="BA258">
        <v>6</v>
      </c>
      <c r="BB258">
        <v>8</v>
      </c>
      <c r="BC258">
        <v>32</v>
      </c>
      <c r="BE258">
        <v>10</v>
      </c>
      <c r="BF258">
        <f t="shared" si="8"/>
        <v>300</v>
      </c>
      <c r="BG258">
        <v>6</v>
      </c>
      <c r="BH258">
        <v>8</v>
      </c>
      <c r="BI258">
        <v>30</v>
      </c>
      <c r="BK258">
        <v>7</v>
      </c>
      <c r="BL258">
        <f t="shared" si="9"/>
        <v>296</v>
      </c>
      <c r="BM258">
        <v>6</v>
      </c>
      <c r="BN258">
        <v>5</v>
      </c>
      <c r="BO258">
        <v>32</v>
      </c>
    </row>
    <row r="259" spans="4:67">
      <c r="E259" t="s">
        <v>90</v>
      </c>
      <c r="O259" t="s">
        <v>64</v>
      </c>
    </row>
    <row r="260" spans="4:67">
      <c r="E260" t="s">
        <v>91</v>
      </c>
      <c r="O260" t="s">
        <v>65</v>
      </c>
    </row>
    <row r="261" spans="4:67">
      <c r="E261" t="s">
        <v>92</v>
      </c>
      <c r="O261" t="s">
        <v>66</v>
      </c>
    </row>
    <row r="262" spans="4:67">
      <c r="Z262" t="s">
        <v>104</v>
      </c>
    </row>
    <row r="263" spans="4:67">
      <c r="D263" t="s">
        <v>25</v>
      </c>
      <c r="E263" t="s">
        <v>40</v>
      </c>
      <c r="F263" t="s">
        <v>41</v>
      </c>
      <c r="I263" t="s">
        <v>67</v>
      </c>
      <c r="Z263" s="6">
        <v>45031</v>
      </c>
    </row>
    <row r="264" spans="4:67">
      <c r="D264">
        <v>0</v>
      </c>
      <c r="E264">
        <v>0</v>
      </c>
      <c r="F264">
        <v>0</v>
      </c>
      <c r="W264" t="s">
        <v>156</v>
      </c>
      <c r="AD264" s="5">
        <v>-0.2</v>
      </c>
      <c r="AJ264" s="5">
        <v>-0.5</v>
      </c>
      <c r="AP264" s="5">
        <v>0.2</v>
      </c>
    </row>
    <row r="265" spans="4:67">
      <c r="D265">
        <v>1</v>
      </c>
      <c r="E265">
        <v>0</v>
      </c>
      <c r="F265">
        <v>0</v>
      </c>
      <c r="W265" t="s">
        <v>161</v>
      </c>
      <c r="Y265" t="s">
        <v>130</v>
      </c>
      <c r="Z265" t="s">
        <v>165</v>
      </c>
      <c r="AA265" t="s">
        <v>166</v>
      </c>
      <c r="AB265" t="s">
        <v>173</v>
      </c>
      <c r="AC265" t="s">
        <v>167</v>
      </c>
      <c r="AD265" t="s">
        <v>168</v>
      </c>
      <c r="AE265" t="s">
        <v>169</v>
      </c>
      <c r="AF265" t="s">
        <v>171</v>
      </c>
      <c r="AG265" t="s">
        <v>127</v>
      </c>
      <c r="AH265" t="s">
        <v>172</v>
      </c>
      <c r="AJ265" t="s">
        <v>168</v>
      </c>
      <c r="AK265" t="s">
        <v>169</v>
      </c>
      <c r="AL265" t="s">
        <v>171</v>
      </c>
      <c r="AM265" t="s">
        <v>127</v>
      </c>
      <c r="AN265" t="s">
        <v>172</v>
      </c>
      <c r="AP265" t="s">
        <v>168</v>
      </c>
      <c r="AQ265" t="s">
        <v>169</v>
      </c>
      <c r="AR265" t="s">
        <v>171</v>
      </c>
      <c r="AS265" t="s">
        <v>127</v>
      </c>
      <c r="AT265" t="s">
        <v>172</v>
      </c>
    </row>
    <row r="266" spans="4:67">
      <c r="D266">
        <v>2</v>
      </c>
      <c r="E266">
        <v>0</v>
      </c>
      <c r="F266">
        <v>0</v>
      </c>
      <c r="W266" t="s">
        <v>162</v>
      </c>
      <c r="Y266">
        <v>1</v>
      </c>
      <c r="Z266">
        <v>0</v>
      </c>
      <c r="AA266">
        <v>27</v>
      </c>
      <c r="AB266">
        <v>10</v>
      </c>
      <c r="AC266">
        <f>750-AA266+Z266</f>
        <v>723</v>
      </c>
      <c r="AD266">
        <v>0</v>
      </c>
      <c r="AE266">
        <f>750+AD266-$AA266</f>
        <v>723</v>
      </c>
      <c r="AJ266">
        <v>0</v>
      </c>
      <c r="AK266">
        <f>750+AJ266-$AA266</f>
        <v>723</v>
      </c>
      <c r="AP266">
        <v>0</v>
      </c>
      <c r="AQ266">
        <f>750+AP266-$AA266</f>
        <v>723</v>
      </c>
    </row>
    <row r="267" spans="4:67">
      <c r="D267">
        <v>3</v>
      </c>
      <c r="E267">
        <v>1</v>
      </c>
      <c r="F267">
        <v>0</v>
      </c>
      <c r="W267" t="s">
        <v>163</v>
      </c>
      <c r="Y267">
        <v>2</v>
      </c>
      <c r="Z267">
        <v>0</v>
      </c>
      <c r="AA267">
        <v>11</v>
      </c>
      <c r="AB267">
        <v>6</v>
      </c>
      <c r="AC267">
        <f t="shared" ref="AC267:AC289" si="10">AC266-AA267+Z267</f>
        <v>712</v>
      </c>
      <c r="AD267">
        <v>0</v>
      </c>
      <c r="AE267">
        <f>AE266+AD267-$AA267</f>
        <v>712</v>
      </c>
      <c r="AJ267">
        <v>0</v>
      </c>
      <c r="AK267">
        <f>AK266+AJ267-$AA267</f>
        <v>712</v>
      </c>
      <c r="AP267">
        <v>0</v>
      </c>
      <c r="AQ267">
        <f>AQ266+AP267-$AA267</f>
        <v>712</v>
      </c>
    </row>
    <row r="268" spans="4:67">
      <c r="D268">
        <v>4</v>
      </c>
      <c r="E268">
        <v>4</v>
      </c>
      <c r="F268">
        <v>2</v>
      </c>
      <c r="W268" t="s">
        <v>116</v>
      </c>
      <c r="Y268">
        <v>3</v>
      </c>
      <c r="Z268">
        <v>0</v>
      </c>
      <c r="AA268">
        <v>11</v>
      </c>
      <c r="AB268">
        <v>6</v>
      </c>
      <c r="AC268">
        <f t="shared" si="10"/>
        <v>701</v>
      </c>
      <c r="AD268">
        <v>0</v>
      </c>
      <c r="AE268">
        <f t="shared" ref="AE268:AE289" si="11">AE267+AD268-AA268</f>
        <v>701</v>
      </c>
      <c r="AJ268">
        <v>0</v>
      </c>
      <c r="AK268">
        <f t="shared" ref="AK268:AK289" si="12">AK267+AJ268-$AA268</f>
        <v>701</v>
      </c>
      <c r="AP268">
        <v>0</v>
      </c>
      <c r="AQ268">
        <f t="shared" ref="AQ268:AQ289" si="13">AQ267+AP268-$AA268</f>
        <v>701</v>
      </c>
    </row>
    <row r="269" spans="4:67">
      <c r="D269">
        <v>5</v>
      </c>
      <c r="E269">
        <v>12</v>
      </c>
      <c r="F269">
        <v>10</v>
      </c>
      <c r="W269" t="s">
        <v>157</v>
      </c>
      <c r="Y269">
        <v>4</v>
      </c>
      <c r="Z269">
        <v>0</v>
      </c>
      <c r="AA269">
        <v>11</v>
      </c>
      <c r="AB269">
        <v>6</v>
      </c>
      <c r="AC269">
        <f t="shared" si="10"/>
        <v>690</v>
      </c>
      <c r="AD269">
        <v>0</v>
      </c>
      <c r="AE269">
        <f t="shared" si="11"/>
        <v>690</v>
      </c>
      <c r="AJ269">
        <v>0</v>
      </c>
      <c r="AK269">
        <f t="shared" si="12"/>
        <v>690</v>
      </c>
      <c r="AP269">
        <v>0</v>
      </c>
      <c r="AQ269">
        <f t="shared" si="13"/>
        <v>690</v>
      </c>
    </row>
    <row r="270" spans="4:67">
      <c r="D270">
        <v>6</v>
      </c>
      <c r="E270">
        <v>27</v>
      </c>
      <c r="F270">
        <v>27</v>
      </c>
      <c r="W270" t="s">
        <v>158</v>
      </c>
      <c r="Y270">
        <v>5</v>
      </c>
      <c r="Z270">
        <v>0</v>
      </c>
      <c r="AA270">
        <v>27</v>
      </c>
      <c r="AB270">
        <v>10</v>
      </c>
      <c r="AC270">
        <f t="shared" si="10"/>
        <v>663</v>
      </c>
      <c r="AD270">
        <v>0</v>
      </c>
      <c r="AE270">
        <f t="shared" si="11"/>
        <v>663</v>
      </c>
      <c r="AJ270">
        <v>0</v>
      </c>
      <c r="AK270">
        <f t="shared" si="12"/>
        <v>663</v>
      </c>
      <c r="AP270">
        <v>0</v>
      </c>
      <c r="AQ270">
        <f t="shared" si="13"/>
        <v>663</v>
      </c>
    </row>
    <row r="271" spans="4:67">
      <c r="D271">
        <v>7</v>
      </c>
      <c r="E271">
        <v>34</v>
      </c>
      <c r="F271">
        <v>49</v>
      </c>
      <c r="W271" t="s">
        <v>159</v>
      </c>
      <c r="Y271">
        <v>6</v>
      </c>
      <c r="Z271">
        <v>0</v>
      </c>
      <c r="AA271">
        <v>2</v>
      </c>
      <c r="AB271">
        <v>2</v>
      </c>
      <c r="AC271">
        <f t="shared" si="10"/>
        <v>661</v>
      </c>
      <c r="AD271">
        <v>0</v>
      </c>
      <c r="AE271">
        <f t="shared" si="11"/>
        <v>661</v>
      </c>
      <c r="AJ271">
        <v>0</v>
      </c>
      <c r="AK271">
        <f t="shared" si="12"/>
        <v>661</v>
      </c>
      <c r="AP271">
        <v>0</v>
      </c>
      <c r="AQ271">
        <f t="shared" si="13"/>
        <v>661</v>
      </c>
    </row>
    <row r="272" spans="4:67">
      <c r="D272">
        <v>8</v>
      </c>
      <c r="E272">
        <v>40</v>
      </c>
      <c r="F272">
        <v>71</v>
      </c>
      <c r="W272" t="s">
        <v>160</v>
      </c>
      <c r="Y272">
        <v>7</v>
      </c>
      <c r="Z272">
        <v>7</v>
      </c>
      <c r="AA272">
        <v>27</v>
      </c>
      <c r="AB272">
        <v>10</v>
      </c>
      <c r="AC272">
        <f t="shared" si="10"/>
        <v>641</v>
      </c>
      <c r="AD272">
        <v>6</v>
      </c>
      <c r="AE272">
        <f t="shared" si="11"/>
        <v>640</v>
      </c>
      <c r="AJ272">
        <v>4</v>
      </c>
      <c r="AK272">
        <f t="shared" si="12"/>
        <v>638</v>
      </c>
      <c r="AP272">
        <v>9</v>
      </c>
      <c r="AQ272">
        <f t="shared" si="13"/>
        <v>643</v>
      </c>
    </row>
    <row r="273" spans="4:46">
      <c r="D273">
        <v>9</v>
      </c>
      <c r="E273">
        <v>17</v>
      </c>
      <c r="F273">
        <v>89</v>
      </c>
      <c r="W273" t="s">
        <v>170</v>
      </c>
      <c r="Y273">
        <v>8</v>
      </c>
      <c r="Z273">
        <v>16</v>
      </c>
      <c r="AA273">
        <v>11</v>
      </c>
      <c r="AB273">
        <v>6</v>
      </c>
      <c r="AC273">
        <f t="shared" si="10"/>
        <v>646</v>
      </c>
      <c r="AD273">
        <v>13</v>
      </c>
      <c r="AE273">
        <f t="shared" si="11"/>
        <v>642</v>
      </c>
      <c r="AJ273">
        <v>8</v>
      </c>
      <c r="AK273">
        <f t="shared" si="12"/>
        <v>635</v>
      </c>
      <c r="AP273">
        <v>19</v>
      </c>
      <c r="AQ273">
        <f t="shared" si="13"/>
        <v>651</v>
      </c>
    </row>
    <row r="274" spans="4:46">
      <c r="D274">
        <v>10</v>
      </c>
      <c r="E274">
        <v>70</v>
      </c>
      <c r="F274">
        <v>102</v>
      </c>
      <c r="W274" t="s">
        <v>164</v>
      </c>
      <c r="Y274">
        <v>9</v>
      </c>
      <c r="Z274">
        <v>29</v>
      </c>
      <c r="AA274">
        <v>27</v>
      </c>
      <c r="AB274">
        <v>10</v>
      </c>
      <c r="AC274">
        <f t="shared" si="10"/>
        <v>648</v>
      </c>
      <c r="AD274">
        <v>23</v>
      </c>
      <c r="AE274">
        <f t="shared" si="11"/>
        <v>638</v>
      </c>
      <c r="AJ274">
        <v>15</v>
      </c>
      <c r="AK274">
        <f t="shared" si="12"/>
        <v>623</v>
      </c>
      <c r="AP274">
        <v>35</v>
      </c>
      <c r="AQ274">
        <f t="shared" si="13"/>
        <v>659</v>
      </c>
    </row>
    <row r="275" spans="4:46">
      <c r="D275">
        <v>11</v>
      </c>
      <c r="E275">
        <v>81</v>
      </c>
      <c r="F275">
        <v>109</v>
      </c>
      <c r="Y275">
        <v>10</v>
      </c>
      <c r="Z275">
        <v>28</v>
      </c>
      <c r="AA275">
        <v>11</v>
      </c>
      <c r="AB275">
        <v>6</v>
      </c>
      <c r="AC275">
        <f t="shared" si="10"/>
        <v>665</v>
      </c>
      <c r="AD275">
        <v>22</v>
      </c>
      <c r="AE275">
        <f t="shared" si="11"/>
        <v>649</v>
      </c>
      <c r="AJ275">
        <v>14</v>
      </c>
      <c r="AK275">
        <f t="shared" si="12"/>
        <v>626</v>
      </c>
      <c r="AP275">
        <v>33</v>
      </c>
      <c r="AQ275">
        <f t="shared" si="13"/>
        <v>681</v>
      </c>
    </row>
    <row r="276" spans="4:46">
      <c r="D276">
        <v>12</v>
      </c>
      <c r="E276">
        <v>41</v>
      </c>
      <c r="F276">
        <v>108</v>
      </c>
      <c r="Y276">
        <v>11</v>
      </c>
      <c r="Z276">
        <v>25</v>
      </c>
      <c r="AA276">
        <v>11</v>
      </c>
      <c r="AB276">
        <v>6</v>
      </c>
      <c r="AC276">
        <f t="shared" si="10"/>
        <v>679</v>
      </c>
      <c r="AD276">
        <v>20</v>
      </c>
      <c r="AE276">
        <f t="shared" si="11"/>
        <v>658</v>
      </c>
      <c r="AJ276">
        <v>12</v>
      </c>
      <c r="AK276">
        <f t="shared" si="12"/>
        <v>627</v>
      </c>
      <c r="AP276">
        <v>30</v>
      </c>
      <c r="AQ276">
        <f t="shared" si="13"/>
        <v>700</v>
      </c>
    </row>
    <row r="277" spans="4:46">
      <c r="D277">
        <v>13</v>
      </c>
      <c r="E277">
        <v>49</v>
      </c>
      <c r="F277">
        <v>100</v>
      </c>
      <c r="Y277">
        <v>12</v>
      </c>
      <c r="Z277">
        <v>68</v>
      </c>
      <c r="AA277">
        <v>27</v>
      </c>
      <c r="AB277">
        <v>10</v>
      </c>
      <c r="AC277">
        <f t="shared" si="10"/>
        <v>720</v>
      </c>
      <c r="AD277">
        <v>54</v>
      </c>
      <c r="AE277">
        <f t="shared" si="11"/>
        <v>685</v>
      </c>
      <c r="AJ277">
        <v>34</v>
      </c>
      <c r="AK277">
        <f t="shared" si="12"/>
        <v>634</v>
      </c>
      <c r="AP277">
        <v>81</v>
      </c>
      <c r="AQ277">
        <f t="shared" si="13"/>
        <v>754</v>
      </c>
    </row>
    <row r="278" spans="4:46">
      <c r="D278">
        <v>14</v>
      </c>
      <c r="E278">
        <v>44</v>
      </c>
      <c r="F278">
        <v>86</v>
      </c>
      <c r="Y278">
        <v>13</v>
      </c>
      <c r="Z278">
        <v>80</v>
      </c>
      <c r="AA278">
        <v>6</v>
      </c>
      <c r="AB278">
        <v>4</v>
      </c>
      <c r="AC278">
        <f t="shared" si="10"/>
        <v>794</v>
      </c>
      <c r="AD278">
        <v>64</v>
      </c>
      <c r="AE278">
        <f t="shared" si="11"/>
        <v>743</v>
      </c>
      <c r="AF278">
        <v>6</v>
      </c>
      <c r="AG278">
        <v>4</v>
      </c>
      <c r="AH278">
        <f>AE277+AD278-AF278</f>
        <v>743</v>
      </c>
      <c r="AJ278">
        <v>40</v>
      </c>
      <c r="AK278">
        <f t="shared" si="12"/>
        <v>668</v>
      </c>
      <c r="AL278">
        <v>2</v>
      </c>
      <c r="AM278">
        <v>2</v>
      </c>
      <c r="AN278">
        <f>AK277+AJ278-AL278</f>
        <v>672</v>
      </c>
      <c r="AP278">
        <v>97</v>
      </c>
      <c r="AQ278">
        <f t="shared" si="13"/>
        <v>845</v>
      </c>
      <c r="AR278">
        <v>11</v>
      </c>
      <c r="AS278">
        <v>6</v>
      </c>
      <c r="AT278">
        <f>AQ277+AP278-AR278</f>
        <v>840</v>
      </c>
    </row>
    <row r="279" spans="4:46">
      <c r="D279">
        <v>15</v>
      </c>
      <c r="E279">
        <v>48</v>
      </c>
      <c r="F279">
        <v>67</v>
      </c>
      <c r="Y279">
        <v>14</v>
      </c>
      <c r="Z279">
        <v>75</v>
      </c>
      <c r="AA279">
        <v>27</v>
      </c>
      <c r="AB279">
        <v>10</v>
      </c>
      <c r="AC279">
        <f t="shared" si="10"/>
        <v>842</v>
      </c>
      <c r="AD279">
        <v>60</v>
      </c>
      <c r="AE279">
        <f t="shared" si="11"/>
        <v>776</v>
      </c>
      <c r="AF279">
        <v>2</v>
      </c>
      <c r="AG279">
        <v>2</v>
      </c>
      <c r="AH279">
        <f t="shared" ref="AH279:AH289" si="14">AH278+AD279-AF279</f>
        <v>801</v>
      </c>
      <c r="AJ279">
        <v>38</v>
      </c>
      <c r="AK279">
        <f t="shared" si="12"/>
        <v>679</v>
      </c>
      <c r="AL279">
        <v>2</v>
      </c>
      <c r="AM279">
        <v>2</v>
      </c>
      <c r="AN279">
        <f>AN278+AJ279-AL279</f>
        <v>708</v>
      </c>
      <c r="AP279">
        <v>90</v>
      </c>
      <c r="AQ279">
        <f t="shared" si="13"/>
        <v>908</v>
      </c>
      <c r="AR279">
        <v>27</v>
      </c>
      <c r="AS279">
        <v>10</v>
      </c>
      <c r="AT279">
        <f>AT278+AP279-AR279</f>
        <v>903</v>
      </c>
    </row>
    <row r="280" spans="4:46">
      <c r="D280">
        <v>16</v>
      </c>
      <c r="E280">
        <v>26</v>
      </c>
      <c r="F280">
        <v>45</v>
      </c>
      <c r="Y280">
        <v>15</v>
      </c>
      <c r="Z280">
        <v>97</v>
      </c>
      <c r="AA280">
        <v>11</v>
      </c>
      <c r="AB280">
        <v>6</v>
      </c>
      <c r="AC280">
        <f t="shared" si="10"/>
        <v>928</v>
      </c>
      <c r="AD280">
        <v>78</v>
      </c>
      <c r="AE280">
        <f t="shared" si="11"/>
        <v>843</v>
      </c>
      <c r="AF280">
        <v>11</v>
      </c>
      <c r="AG280">
        <v>6</v>
      </c>
      <c r="AH280">
        <f t="shared" si="14"/>
        <v>868</v>
      </c>
      <c r="AJ280">
        <v>49</v>
      </c>
      <c r="AK280">
        <f t="shared" si="12"/>
        <v>717</v>
      </c>
      <c r="AL280">
        <v>2</v>
      </c>
      <c r="AM280">
        <v>2</v>
      </c>
      <c r="AN280">
        <f t="shared" ref="AN280:AN289" si="15">AN279+AJ280-AL280</f>
        <v>755</v>
      </c>
      <c r="AP280">
        <v>116</v>
      </c>
      <c r="AQ280">
        <v>1000</v>
      </c>
      <c r="AR280">
        <v>53</v>
      </c>
      <c r="AS280">
        <v>14</v>
      </c>
      <c r="AT280">
        <f t="shared" ref="AT280:AT289" si="16">AT279+AP280-AR280</f>
        <v>966</v>
      </c>
    </row>
    <row r="281" spans="4:46">
      <c r="D281">
        <v>17</v>
      </c>
      <c r="E281">
        <v>12</v>
      </c>
      <c r="F281">
        <v>24</v>
      </c>
      <c r="Y281">
        <v>16</v>
      </c>
      <c r="Z281">
        <v>63</v>
      </c>
      <c r="AA281">
        <v>53</v>
      </c>
      <c r="AB281">
        <v>14</v>
      </c>
      <c r="AC281">
        <f t="shared" si="10"/>
        <v>938</v>
      </c>
      <c r="AD281">
        <v>51</v>
      </c>
      <c r="AE281">
        <f t="shared" si="11"/>
        <v>841</v>
      </c>
      <c r="AF281">
        <v>11</v>
      </c>
      <c r="AG281">
        <v>6</v>
      </c>
      <c r="AH281">
        <f t="shared" si="14"/>
        <v>908</v>
      </c>
      <c r="AJ281">
        <v>32</v>
      </c>
      <c r="AK281">
        <f t="shared" si="12"/>
        <v>696</v>
      </c>
      <c r="AL281">
        <v>2</v>
      </c>
      <c r="AM281">
        <v>2</v>
      </c>
      <c r="AN281">
        <f t="shared" si="15"/>
        <v>785</v>
      </c>
      <c r="AP281">
        <v>76</v>
      </c>
      <c r="AQ281">
        <v>1000</v>
      </c>
      <c r="AR281">
        <v>53</v>
      </c>
      <c r="AS281">
        <v>14</v>
      </c>
      <c r="AT281">
        <f t="shared" si="16"/>
        <v>989</v>
      </c>
    </row>
    <row r="282" spans="4:46">
      <c r="D282">
        <v>18</v>
      </c>
      <c r="E282">
        <v>5</v>
      </c>
      <c r="F282">
        <v>8</v>
      </c>
      <c r="Y282">
        <v>17</v>
      </c>
      <c r="Z282">
        <v>12</v>
      </c>
      <c r="AA282">
        <v>27</v>
      </c>
      <c r="AB282">
        <v>10</v>
      </c>
      <c r="AC282">
        <f t="shared" si="10"/>
        <v>923</v>
      </c>
      <c r="AD282">
        <v>9</v>
      </c>
      <c r="AE282">
        <f t="shared" si="11"/>
        <v>823</v>
      </c>
      <c r="AF282">
        <v>27</v>
      </c>
      <c r="AG282">
        <v>10</v>
      </c>
      <c r="AH282">
        <f t="shared" si="14"/>
        <v>890</v>
      </c>
      <c r="AJ282">
        <v>6</v>
      </c>
      <c r="AK282">
        <f t="shared" si="12"/>
        <v>675</v>
      </c>
      <c r="AL282">
        <v>2</v>
      </c>
      <c r="AM282">
        <v>2</v>
      </c>
      <c r="AN282">
        <f t="shared" si="15"/>
        <v>789</v>
      </c>
      <c r="AP282">
        <v>14</v>
      </c>
      <c r="AQ282">
        <v>1000</v>
      </c>
      <c r="AR282">
        <v>53</v>
      </c>
      <c r="AS282">
        <v>14</v>
      </c>
      <c r="AT282">
        <f t="shared" si="16"/>
        <v>950</v>
      </c>
    </row>
    <row r="283" spans="4:46">
      <c r="D283">
        <v>19</v>
      </c>
      <c r="E283">
        <v>0</v>
      </c>
      <c r="F283">
        <v>1</v>
      </c>
      <c r="Y283">
        <v>18</v>
      </c>
      <c r="Z283">
        <v>9</v>
      </c>
      <c r="AA283">
        <v>11</v>
      </c>
      <c r="AB283">
        <v>6</v>
      </c>
      <c r="AC283">
        <f t="shared" si="10"/>
        <v>921</v>
      </c>
      <c r="AD283">
        <v>7</v>
      </c>
      <c r="AE283">
        <f t="shared" si="11"/>
        <v>819</v>
      </c>
      <c r="AF283">
        <v>11</v>
      </c>
      <c r="AG283">
        <v>6</v>
      </c>
      <c r="AH283">
        <f t="shared" si="14"/>
        <v>886</v>
      </c>
      <c r="AJ283">
        <v>4</v>
      </c>
      <c r="AK283">
        <f t="shared" si="12"/>
        <v>668</v>
      </c>
      <c r="AL283">
        <v>2</v>
      </c>
      <c r="AM283">
        <v>2</v>
      </c>
      <c r="AN283">
        <f t="shared" si="15"/>
        <v>791</v>
      </c>
      <c r="AP283">
        <v>11</v>
      </c>
      <c r="AQ283">
        <f t="shared" si="13"/>
        <v>1000</v>
      </c>
      <c r="AR283">
        <v>27</v>
      </c>
      <c r="AS283">
        <v>10</v>
      </c>
      <c r="AT283">
        <f t="shared" si="16"/>
        <v>934</v>
      </c>
    </row>
    <row r="284" spans="4:46">
      <c r="D284">
        <v>20</v>
      </c>
      <c r="E284">
        <v>0</v>
      </c>
      <c r="F284">
        <v>0</v>
      </c>
      <c r="Y284">
        <v>19</v>
      </c>
      <c r="Z284">
        <v>1</v>
      </c>
      <c r="AA284">
        <v>11</v>
      </c>
      <c r="AB284">
        <v>6</v>
      </c>
      <c r="AC284">
        <f t="shared" si="10"/>
        <v>911</v>
      </c>
      <c r="AD284">
        <v>0</v>
      </c>
      <c r="AE284">
        <f t="shared" si="11"/>
        <v>808</v>
      </c>
      <c r="AF284">
        <v>53</v>
      </c>
      <c r="AG284">
        <v>14</v>
      </c>
      <c r="AH284">
        <f t="shared" si="14"/>
        <v>833</v>
      </c>
      <c r="AJ284">
        <v>0</v>
      </c>
      <c r="AK284">
        <f t="shared" si="12"/>
        <v>657</v>
      </c>
      <c r="AL284">
        <v>2</v>
      </c>
      <c r="AM284">
        <v>2</v>
      </c>
      <c r="AN284">
        <f t="shared" si="15"/>
        <v>789</v>
      </c>
      <c r="AP284">
        <v>1</v>
      </c>
      <c r="AQ284">
        <f t="shared" si="13"/>
        <v>990</v>
      </c>
      <c r="AR284">
        <v>53</v>
      </c>
      <c r="AS284">
        <v>14</v>
      </c>
      <c r="AT284">
        <f t="shared" si="16"/>
        <v>882</v>
      </c>
    </row>
    <row r="285" spans="4:46">
      <c r="D285">
        <v>21</v>
      </c>
      <c r="E285">
        <v>0</v>
      </c>
      <c r="F285">
        <v>0</v>
      </c>
      <c r="Y285">
        <v>20</v>
      </c>
      <c r="Z285">
        <v>0</v>
      </c>
      <c r="AA285">
        <v>27</v>
      </c>
      <c r="AB285">
        <v>10</v>
      </c>
      <c r="AC285">
        <f t="shared" si="10"/>
        <v>884</v>
      </c>
      <c r="AD285">
        <v>0</v>
      </c>
      <c r="AE285">
        <f t="shared" si="11"/>
        <v>781</v>
      </c>
      <c r="AF285">
        <v>6</v>
      </c>
      <c r="AG285">
        <v>4</v>
      </c>
      <c r="AH285">
        <f t="shared" si="14"/>
        <v>827</v>
      </c>
      <c r="AJ285">
        <v>0</v>
      </c>
      <c r="AK285">
        <f t="shared" si="12"/>
        <v>630</v>
      </c>
      <c r="AL285">
        <v>2</v>
      </c>
      <c r="AM285">
        <v>2</v>
      </c>
      <c r="AN285">
        <f t="shared" si="15"/>
        <v>787</v>
      </c>
      <c r="AP285">
        <v>0</v>
      </c>
      <c r="AQ285">
        <f t="shared" si="13"/>
        <v>963</v>
      </c>
      <c r="AR285">
        <v>27</v>
      </c>
      <c r="AS285">
        <v>10</v>
      </c>
      <c r="AT285">
        <f t="shared" si="16"/>
        <v>855</v>
      </c>
    </row>
    <row r="286" spans="4:46">
      <c r="D286">
        <v>22</v>
      </c>
      <c r="E286">
        <v>0</v>
      </c>
      <c r="F286">
        <v>0</v>
      </c>
      <c r="Y286">
        <v>21</v>
      </c>
      <c r="Z286">
        <v>0</v>
      </c>
      <c r="AA286">
        <v>11</v>
      </c>
      <c r="AB286">
        <v>6</v>
      </c>
      <c r="AC286">
        <f t="shared" si="10"/>
        <v>873</v>
      </c>
      <c r="AD286">
        <v>0</v>
      </c>
      <c r="AE286">
        <f t="shared" si="11"/>
        <v>770</v>
      </c>
      <c r="AF286">
        <v>53</v>
      </c>
      <c r="AG286">
        <v>14</v>
      </c>
      <c r="AH286">
        <f t="shared" si="14"/>
        <v>774</v>
      </c>
      <c r="AJ286">
        <v>0</v>
      </c>
      <c r="AK286">
        <f t="shared" si="12"/>
        <v>619</v>
      </c>
      <c r="AL286">
        <v>2</v>
      </c>
      <c r="AM286">
        <v>2</v>
      </c>
      <c r="AN286">
        <f t="shared" si="15"/>
        <v>785</v>
      </c>
      <c r="AP286">
        <v>0</v>
      </c>
      <c r="AQ286">
        <f t="shared" si="13"/>
        <v>952</v>
      </c>
      <c r="AR286">
        <v>27</v>
      </c>
      <c r="AS286">
        <v>10</v>
      </c>
      <c r="AT286">
        <f t="shared" si="16"/>
        <v>828</v>
      </c>
    </row>
    <row r="287" spans="4:46">
      <c r="D287">
        <v>23</v>
      </c>
      <c r="E287">
        <v>0</v>
      </c>
      <c r="F287">
        <v>0</v>
      </c>
      <c r="Y287">
        <v>22</v>
      </c>
      <c r="Z287">
        <v>0</v>
      </c>
      <c r="AA287">
        <v>11</v>
      </c>
      <c r="AB287">
        <v>6</v>
      </c>
      <c r="AC287">
        <f t="shared" si="10"/>
        <v>862</v>
      </c>
      <c r="AD287">
        <v>0</v>
      </c>
      <c r="AE287">
        <f t="shared" si="11"/>
        <v>759</v>
      </c>
      <c r="AF287">
        <v>2</v>
      </c>
      <c r="AG287">
        <v>2</v>
      </c>
      <c r="AH287">
        <f t="shared" si="14"/>
        <v>772</v>
      </c>
      <c r="AJ287">
        <v>0</v>
      </c>
      <c r="AK287">
        <f t="shared" si="12"/>
        <v>608</v>
      </c>
      <c r="AL287">
        <v>6</v>
      </c>
      <c r="AM287">
        <v>4</v>
      </c>
      <c r="AN287">
        <f t="shared" si="15"/>
        <v>779</v>
      </c>
      <c r="AP287">
        <v>0</v>
      </c>
      <c r="AQ287">
        <f t="shared" si="13"/>
        <v>941</v>
      </c>
      <c r="AR287">
        <v>53</v>
      </c>
      <c r="AS287">
        <v>14</v>
      </c>
      <c r="AT287">
        <f t="shared" si="16"/>
        <v>775</v>
      </c>
    </row>
    <row r="288" spans="4:46">
      <c r="Y288">
        <v>23</v>
      </c>
      <c r="Z288">
        <v>0</v>
      </c>
      <c r="AA288">
        <v>53</v>
      </c>
      <c r="AB288">
        <v>14</v>
      </c>
      <c r="AC288">
        <f t="shared" si="10"/>
        <v>809</v>
      </c>
      <c r="AD288">
        <v>0</v>
      </c>
      <c r="AE288">
        <f t="shared" si="11"/>
        <v>706</v>
      </c>
      <c r="AF288">
        <v>11</v>
      </c>
      <c r="AG288">
        <v>6</v>
      </c>
      <c r="AH288">
        <f t="shared" si="14"/>
        <v>761</v>
      </c>
      <c r="AJ288">
        <v>0</v>
      </c>
      <c r="AK288">
        <f t="shared" si="12"/>
        <v>555</v>
      </c>
      <c r="AL288">
        <v>27</v>
      </c>
      <c r="AM288">
        <v>10</v>
      </c>
      <c r="AN288">
        <f t="shared" si="15"/>
        <v>752</v>
      </c>
      <c r="AP288">
        <v>0</v>
      </c>
      <c r="AQ288">
        <f t="shared" si="13"/>
        <v>888</v>
      </c>
      <c r="AR288">
        <v>11</v>
      </c>
      <c r="AS288">
        <v>6</v>
      </c>
      <c r="AT288">
        <f t="shared" si="16"/>
        <v>764</v>
      </c>
    </row>
    <row r="289" spans="4:46">
      <c r="Y289">
        <v>24</v>
      </c>
      <c r="Z289">
        <v>0</v>
      </c>
      <c r="AA289">
        <v>53</v>
      </c>
      <c r="AB289">
        <v>14</v>
      </c>
      <c r="AC289">
        <f t="shared" si="10"/>
        <v>756</v>
      </c>
      <c r="AD289">
        <v>0</v>
      </c>
      <c r="AE289">
        <f t="shared" si="11"/>
        <v>653</v>
      </c>
      <c r="AF289">
        <v>11</v>
      </c>
      <c r="AG289">
        <v>6</v>
      </c>
      <c r="AH289">
        <f t="shared" si="14"/>
        <v>750</v>
      </c>
      <c r="AJ289">
        <v>0</v>
      </c>
      <c r="AK289">
        <f t="shared" si="12"/>
        <v>502</v>
      </c>
      <c r="AL289">
        <v>2</v>
      </c>
      <c r="AM289">
        <v>2</v>
      </c>
      <c r="AN289">
        <f t="shared" si="15"/>
        <v>750</v>
      </c>
      <c r="AP289">
        <v>0</v>
      </c>
      <c r="AQ289">
        <f t="shared" si="13"/>
        <v>835</v>
      </c>
      <c r="AR289">
        <v>11</v>
      </c>
      <c r="AS289">
        <v>6</v>
      </c>
      <c r="AT289">
        <f t="shared" si="16"/>
        <v>753</v>
      </c>
    </row>
    <row r="290" spans="4:46">
      <c r="AB290">
        <f>SUM(AB266:AB289)</f>
        <v>194</v>
      </c>
      <c r="AG290">
        <f>SUM($AB266:$AB277)+SUM(AG278:AG289)</f>
        <v>168</v>
      </c>
      <c r="AM290">
        <f>SUM($AB266:$AB277)+SUM(AM278:AM289)</f>
        <v>122</v>
      </c>
      <c r="AS290">
        <f>SUM($AB266:$AB277)+SUM(AS278:AS289)</f>
        <v>216</v>
      </c>
    </row>
    <row r="292" spans="4:46">
      <c r="Z292" t="s">
        <v>105</v>
      </c>
      <c r="AB292" t="s">
        <v>174</v>
      </c>
    </row>
    <row r="293" spans="4:46">
      <c r="Y293" s="6"/>
      <c r="Z293" s="6"/>
      <c r="AD293" s="5">
        <v>-0.2</v>
      </c>
      <c r="AJ293" s="5">
        <v>-0.5</v>
      </c>
      <c r="AP293" s="5">
        <v>0.2</v>
      </c>
    </row>
    <row r="294" spans="4:46">
      <c r="Y294" t="s">
        <v>130</v>
      </c>
      <c r="Z294" t="s">
        <v>165</v>
      </c>
      <c r="AA294" t="s">
        <v>166</v>
      </c>
      <c r="AB294" t="s">
        <v>173</v>
      </c>
      <c r="AC294" t="s">
        <v>167</v>
      </c>
      <c r="AD294" t="s">
        <v>168</v>
      </c>
      <c r="AE294" t="s">
        <v>169</v>
      </c>
      <c r="AF294" t="s">
        <v>171</v>
      </c>
      <c r="AG294" t="s">
        <v>127</v>
      </c>
      <c r="AH294" t="s">
        <v>172</v>
      </c>
      <c r="AJ294" t="s">
        <v>168</v>
      </c>
      <c r="AK294" t="s">
        <v>169</v>
      </c>
      <c r="AL294" t="s">
        <v>171</v>
      </c>
      <c r="AM294" t="s">
        <v>127</v>
      </c>
      <c r="AN294" t="s">
        <v>172</v>
      </c>
      <c r="AP294" t="s">
        <v>168</v>
      </c>
      <c r="AQ294" t="s">
        <v>169</v>
      </c>
      <c r="AR294" t="s">
        <v>171</v>
      </c>
      <c r="AS294" t="s">
        <v>127</v>
      </c>
      <c r="AT294" t="s">
        <v>172</v>
      </c>
    </row>
    <row r="295" spans="4:46">
      <c r="D295" t="s">
        <v>25</v>
      </c>
      <c r="E295" t="s">
        <v>40</v>
      </c>
      <c r="F295" t="s">
        <v>41</v>
      </c>
      <c r="Y295">
        <v>1</v>
      </c>
      <c r="Z295">
        <v>0</v>
      </c>
      <c r="AA295">
        <v>6</v>
      </c>
      <c r="AB295">
        <v>4</v>
      </c>
      <c r="AC295">
        <f>750-AA295+Z295</f>
        <v>744</v>
      </c>
      <c r="AD295">
        <v>0</v>
      </c>
      <c r="AE295">
        <f>750+AD295-$AA295</f>
        <v>744</v>
      </c>
      <c r="AJ295">
        <v>0</v>
      </c>
      <c r="AK295">
        <f>750+AJ295-$AA295</f>
        <v>744</v>
      </c>
      <c r="AP295">
        <v>0</v>
      </c>
      <c r="AQ295">
        <f>750+AP295-$AA295</f>
        <v>744</v>
      </c>
    </row>
    <row r="296" spans="4:46">
      <c r="D296">
        <v>0</v>
      </c>
      <c r="E296">
        <v>0</v>
      </c>
      <c r="F296">
        <v>0</v>
      </c>
      <c r="Y296">
        <v>2</v>
      </c>
      <c r="Z296">
        <v>0</v>
      </c>
      <c r="AA296">
        <v>6</v>
      </c>
      <c r="AB296">
        <v>4</v>
      </c>
      <c r="AC296">
        <f>AC295-AA296+Z296</f>
        <v>738</v>
      </c>
      <c r="AD296">
        <v>0</v>
      </c>
      <c r="AE296">
        <f>AE295+AD296-$AA296</f>
        <v>738</v>
      </c>
      <c r="AJ296">
        <v>0</v>
      </c>
      <c r="AK296">
        <f>AK295+AJ296-$AA296</f>
        <v>738</v>
      </c>
      <c r="AP296">
        <v>0</v>
      </c>
      <c r="AQ296">
        <f>AQ295+AP296-$AA296</f>
        <v>738</v>
      </c>
    </row>
    <row r="297" spans="4:46">
      <c r="D297">
        <v>1</v>
      </c>
      <c r="E297">
        <v>0</v>
      </c>
      <c r="F297">
        <v>0</v>
      </c>
      <c r="Y297">
        <v>3</v>
      </c>
      <c r="Z297">
        <v>0</v>
      </c>
      <c r="AA297">
        <v>11</v>
      </c>
      <c r="AB297">
        <v>6</v>
      </c>
      <c r="AC297">
        <f t="shared" ref="AC297:AC318" si="17">AC296-AA297+Z297</f>
        <v>727</v>
      </c>
      <c r="AD297">
        <v>0</v>
      </c>
      <c r="AE297">
        <f t="shared" ref="AE297:AE318" si="18">AE296+AD297-$AA297</f>
        <v>727</v>
      </c>
      <c r="AJ297">
        <v>0</v>
      </c>
      <c r="AK297">
        <f t="shared" ref="AK297:AK318" si="19">AK296+AJ297-$AA297</f>
        <v>727</v>
      </c>
      <c r="AP297">
        <v>0</v>
      </c>
      <c r="AQ297">
        <f t="shared" ref="AQ297:AQ318" si="20">AQ296+AP297-$AA297</f>
        <v>727</v>
      </c>
    </row>
    <row r="298" spans="4:46">
      <c r="D298">
        <v>2</v>
      </c>
      <c r="E298">
        <v>0</v>
      </c>
      <c r="F298">
        <v>0</v>
      </c>
      <c r="Y298">
        <v>4</v>
      </c>
      <c r="Z298">
        <v>0</v>
      </c>
      <c r="AA298">
        <v>11</v>
      </c>
      <c r="AB298">
        <v>6</v>
      </c>
      <c r="AC298">
        <f t="shared" si="17"/>
        <v>716</v>
      </c>
      <c r="AD298">
        <v>0</v>
      </c>
      <c r="AE298">
        <f t="shared" si="18"/>
        <v>716</v>
      </c>
      <c r="AJ298">
        <v>0</v>
      </c>
      <c r="AK298">
        <f t="shared" si="19"/>
        <v>716</v>
      </c>
      <c r="AP298">
        <v>0</v>
      </c>
      <c r="AQ298">
        <f t="shared" si="20"/>
        <v>716</v>
      </c>
    </row>
    <row r="299" spans="4:46">
      <c r="D299">
        <v>3</v>
      </c>
      <c r="E299">
        <v>0</v>
      </c>
      <c r="F299">
        <v>0</v>
      </c>
      <c r="Y299">
        <v>5</v>
      </c>
      <c r="Z299">
        <v>0</v>
      </c>
      <c r="AA299">
        <v>11</v>
      </c>
      <c r="AB299">
        <v>6</v>
      </c>
      <c r="AC299">
        <f t="shared" si="17"/>
        <v>705</v>
      </c>
      <c r="AD299">
        <v>0</v>
      </c>
      <c r="AE299">
        <f t="shared" si="18"/>
        <v>705</v>
      </c>
      <c r="AJ299">
        <v>0</v>
      </c>
      <c r="AK299">
        <f t="shared" si="19"/>
        <v>705</v>
      </c>
      <c r="AP299">
        <v>0</v>
      </c>
      <c r="AQ299">
        <f t="shared" si="20"/>
        <v>705</v>
      </c>
    </row>
    <row r="300" spans="4:46">
      <c r="D300">
        <v>4</v>
      </c>
      <c r="E300">
        <v>0</v>
      </c>
      <c r="F300">
        <v>0</v>
      </c>
      <c r="Y300">
        <v>6</v>
      </c>
      <c r="Z300">
        <v>0</v>
      </c>
      <c r="AA300">
        <v>11</v>
      </c>
      <c r="AB300">
        <v>6</v>
      </c>
      <c r="AC300">
        <f t="shared" si="17"/>
        <v>694</v>
      </c>
      <c r="AD300">
        <v>0</v>
      </c>
      <c r="AE300">
        <f t="shared" si="18"/>
        <v>694</v>
      </c>
      <c r="AJ300">
        <v>0</v>
      </c>
      <c r="AK300">
        <f t="shared" si="19"/>
        <v>694</v>
      </c>
      <c r="AP300">
        <v>0</v>
      </c>
      <c r="AQ300">
        <f t="shared" si="20"/>
        <v>694</v>
      </c>
    </row>
    <row r="301" spans="4:46">
      <c r="D301">
        <v>5</v>
      </c>
      <c r="E301">
        <v>0</v>
      </c>
      <c r="F301">
        <v>0</v>
      </c>
      <c r="Y301">
        <v>7</v>
      </c>
      <c r="Z301">
        <v>7</v>
      </c>
      <c r="AA301">
        <v>27</v>
      </c>
      <c r="AB301">
        <v>10</v>
      </c>
      <c r="AC301">
        <f t="shared" si="17"/>
        <v>674</v>
      </c>
      <c r="AD301">
        <v>6</v>
      </c>
      <c r="AE301">
        <f t="shared" si="18"/>
        <v>673</v>
      </c>
      <c r="AJ301">
        <v>4</v>
      </c>
      <c r="AK301">
        <f t="shared" si="19"/>
        <v>671</v>
      </c>
      <c r="AP301">
        <v>9</v>
      </c>
      <c r="AQ301">
        <f t="shared" si="20"/>
        <v>676</v>
      </c>
    </row>
    <row r="302" spans="4:46">
      <c r="D302">
        <v>6</v>
      </c>
      <c r="E302">
        <v>0</v>
      </c>
      <c r="F302">
        <v>0</v>
      </c>
      <c r="Y302">
        <v>8</v>
      </c>
      <c r="Z302">
        <v>16</v>
      </c>
      <c r="AA302">
        <v>27</v>
      </c>
      <c r="AB302">
        <v>10</v>
      </c>
      <c r="AC302">
        <f t="shared" si="17"/>
        <v>663</v>
      </c>
      <c r="AD302">
        <v>13</v>
      </c>
      <c r="AE302">
        <f t="shared" si="18"/>
        <v>659</v>
      </c>
      <c r="AJ302">
        <v>8</v>
      </c>
      <c r="AK302">
        <f t="shared" si="19"/>
        <v>652</v>
      </c>
      <c r="AP302">
        <v>19</v>
      </c>
      <c r="AQ302">
        <f t="shared" si="20"/>
        <v>668</v>
      </c>
    </row>
    <row r="303" spans="4:46">
      <c r="D303">
        <v>7</v>
      </c>
      <c r="E303">
        <v>0</v>
      </c>
      <c r="F303">
        <v>0</v>
      </c>
      <c r="Y303">
        <v>9</v>
      </c>
      <c r="Z303">
        <v>29</v>
      </c>
      <c r="AA303">
        <v>27</v>
      </c>
      <c r="AB303">
        <v>10</v>
      </c>
      <c r="AC303">
        <f t="shared" si="17"/>
        <v>665</v>
      </c>
      <c r="AD303">
        <v>23</v>
      </c>
      <c r="AE303">
        <f t="shared" si="18"/>
        <v>655</v>
      </c>
      <c r="AJ303">
        <v>15</v>
      </c>
      <c r="AK303">
        <f t="shared" si="19"/>
        <v>640</v>
      </c>
      <c r="AP303">
        <v>35</v>
      </c>
      <c r="AQ303">
        <f t="shared" si="20"/>
        <v>676</v>
      </c>
    </row>
    <row r="304" spans="4:46">
      <c r="D304">
        <v>8</v>
      </c>
      <c r="E304">
        <v>0</v>
      </c>
      <c r="F304">
        <v>6</v>
      </c>
      <c r="Y304">
        <v>10</v>
      </c>
      <c r="Z304">
        <v>28</v>
      </c>
      <c r="AA304">
        <v>27</v>
      </c>
      <c r="AB304">
        <v>10</v>
      </c>
      <c r="AC304">
        <f t="shared" si="17"/>
        <v>666</v>
      </c>
      <c r="AD304">
        <v>22</v>
      </c>
      <c r="AE304">
        <f t="shared" si="18"/>
        <v>650</v>
      </c>
      <c r="AJ304">
        <v>14</v>
      </c>
      <c r="AK304">
        <f t="shared" si="19"/>
        <v>627</v>
      </c>
      <c r="AP304">
        <v>33</v>
      </c>
      <c r="AQ304">
        <f t="shared" si="20"/>
        <v>682</v>
      </c>
    </row>
    <row r="305" spans="4:46">
      <c r="D305">
        <v>9</v>
      </c>
      <c r="E305">
        <v>30</v>
      </c>
      <c r="F305">
        <v>29</v>
      </c>
      <c r="Y305">
        <v>11</v>
      </c>
      <c r="Z305">
        <v>25</v>
      </c>
      <c r="AA305">
        <v>27</v>
      </c>
      <c r="AB305">
        <v>10</v>
      </c>
      <c r="AC305">
        <f t="shared" si="17"/>
        <v>664</v>
      </c>
      <c r="AD305">
        <v>20</v>
      </c>
      <c r="AE305">
        <f t="shared" si="18"/>
        <v>643</v>
      </c>
      <c r="AJ305">
        <v>12</v>
      </c>
      <c r="AK305">
        <f t="shared" si="19"/>
        <v>612</v>
      </c>
      <c r="AP305">
        <v>30</v>
      </c>
      <c r="AQ305">
        <f t="shared" si="20"/>
        <v>685</v>
      </c>
    </row>
    <row r="306" spans="4:46">
      <c r="D306">
        <v>10</v>
      </c>
      <c r="E306">
        <v>29</v>
      </c>
      <c r="F306">
        <v>47</v>
      </c>
      <c r="Y306">
        <v>12</v>
      </c>
      <c r="Z306">
        <v>68</v>
      </c>
      <c r="AA306">
        <v>27</v>
      </c>
      <c r="AB306">
        <v>10</v>
      </c>
      <c r="AC306">
        <f t="shared" si="17"/>
        <v>705</v>
      </c>
      <c r="AD306">
        <v>54</v>
      </c>
      <c r="AE306">
        <f t="shared" si="18"/>
        <v>670</v>
      </c>
      <c r="AJ306">
        <v>34</v>
      </c>
      <c r="AK306">
        <f t="shared" si="19"/>
        <v>619</v>
      </c>
      <c r="AP306">
        <v>81</v>
      </c>
      <c r="AQ306">
        <f t="shared" si="20"/>
        <v>739</v>
      </c>
    </row>
    <row r="307" spans="4:46">
      <c r="D307">
        <v>11</v>
      </c>
      <c r="E307">
        <v>28</v>
      </c>
      <c r="F307">
        <v>55</v>
      </c>
      <c r="Y307">
        <v>13</v>
      </c>
      <c r="Z307">
        <v>80</v>
      </c>
      <c r="AA307">
        <v>27</v>
      </c>
      <c r="AB307">
        <v>10</v>
      </c>
      <c r="AC307">
        <f t="shared" si="17"/>
        <v>758</v>
      </c>
      <c r="AD307">
        <v>64</v>
      </c>
      <c r="AE307">
        <f t="shared" si="18"/>
        <v>707</v>
      </c>
      <c r="AF307">
        <v>11</v>
      </c>
      <c r="AG307">
        <v>6</v>
      </c>
      <c r="AH307">
        <f>AE306+AD307-AF307</f>
        <v>723</v>
      </c>
      <c r="AJ307">
        <v>40</v>
      </c>
      <c r="AK307">
        <f t="shared" si="19"/>
        <v>632</v>
      </c>
      <c r="AL307">
        <v>6</v>
      </c>
      <c r="AM307">
        <v>4</v>
      </c>
      <c r="AN307">
        <f>AK306+AJ307-AL307</f>
        <v>653</v>
      </c>
      <c r="AP307">
        <v>97</v>
      </c>
      <c r="AQ307">
        <f t="shared" si="20"/>
        <v>809</v>
      </c>
      <c r="AR307">
        <v>11</v>
      </c>
      <c r="AS307">
        <v>6</v>
      </c>
      <c r="AT307">
        <f>AQ306+AP307-AR307</f>
        <v>825</v>
      </c>
    </row>
    <row r="308" spans="4:46">
      <c r="D308">
        <v>12</v>
      </c>
      <c r="E308">
        <v>27</v>
      </c>
      <c r="F308">
        <v>55</v>
      </c>
      <c r="Y308">
        <v>14</v>
      </c>
      <c r="Z308">
        <v>75</v>
      </c>
      <c r="AA308">
        <v>27</v>
      </c>
      <c r="AB308">
        <v>10</v>
      </c>
      <c r="AC308">
        <f t="shared" si="17"/>
        <v>806</v>
      </c>
      <c r="AD308">
        <v>60</v>
      </c>
      <c r="AE308">
        <f t="shared" si="18"/>
        <v>740</v>
      </c>
      <c r="AF308">
        <v>11</v>
      </c>
      <c r="AG308">
        <v>6</v>
      </c>
      <c r="AH308">
        <f>AH307+AD308-AF308</f>
        <v>772</v>
      </c>
      <c r="AJ308">
        <v>38</v>
      </c>
      <c r="AK308">
        <f t="shared" si="19"/>
        <v>643</v>
      </c>
      <c r="AL308">
        <v>6</v>
      </c>
      <c r="AM308">
        <v>4</v>
      </c>
      <c r="AN308">
        <f>AN307+AJ308-AL308</f>
        <v>685</v>
      </c>
      <c r="AP308">
        <v>90</v>
      </c>
      <c r="AQ308">
        <f t="shared" si="20"/>
        <v>872</v>
      </c>
      <c r="AR308">
        <v>27</v>
      </c>
      <c r="AS308">
        <v>10</v>
      </c>
      <c r="AT308">
        <f>AT307+AP308-AR308</f>
        <v>888</v>
      </c>
    </row>
    <row r="309" spans="4:46">
      <c r="D309">
        <v>13</v>
      </c>
      <c r="E309">
        <v>25</v>
      </c>
      <c r="F309">
        <v>44</v>
      </c>
      <c r="Y309">
        <v>15</v>
      </c>
      <c r="Z309">
        <v>97</v>
      </c>
      <c r="AA309">
        <v>27</v>
      </c>
      <c r="AB309">
        <v>10</v>
      </c>
      <c r="AC309">
        <f t="shared" si="17"/>
        <v>876</v>
      </c>
      <c r="AD309">
        <v>78</v>
      </c>
      <c r="AE309">
        <f t="shared" si="18"/>
        <v>791</v>
      </c>
      <c r="AF309">
        <v>11</v>
      </c>
      <c r="AG309">
        <v>6</v>
      </c>
      <c r="AH309">
        <f t="shared" ref="AH309:AH318" si="21">AH308+AD309-AF309</f>
        <v>839</v>
      </c>
      <c r="AJ309">
        <v>49</v>
      </c>
      <c r="AK309">
        <f t="shared" si="19"/>
        <v>665</v>
      </c>
      <c r="AL309">
        <v>6</v>
      </c>
      <c r="AM309">
        <v>4</v>
      </c>
      <c r="AN309">
        <f t="shared" ref="AN309:AN318" si="22">AN308+AJ309-AL309</f>
        <v>728</v>
      </c>
      <c r="AP309">
        <v>116</v>
      </c>
      <c r="AQ309">
        <f t="shared" si="20"/>
        <v>961</v>
      </c>
      <c r="AR309">
        <v>27</v>
      </c>
      <c r="AS309">
        <v>10</v>
      </c>
      <c r="AT309">
        <f t="shared" ref="AT309:AT318" si="23">AT308+AP309-AR309</f>
        <v>977</v>
      </c>
    </row>
    <row r="310" spans="4:46">
      <c r="D310">
        <v>14</v>
      </c>
      <c r="E310">
        <v>13</v>
      </c>
      <c r="F310">
        <v>24</v>
      </c>
      <c r="Y310">
        <v>16</v>
      </c>
      <c r="Z310">
        <v>63</v>
      </c>
      <c r="AA310">
        <v>11</v>
      </c>
      <c r="AB310">
        <v>6</v>
      </c>
      <c r="AC310">
        <f t="shared" si="17"/>
        <v>928</v>
      </c>
      <c r="AD310">
        <v>51</v>
      </c>
      <c r="AE310">
        <f t="shared" si="18"/>
        <v>831</v>
      </c>
      <c r="AF310">
        <v>11</v>
      </c>
      <c r="AG310">
        <v>6</v>
      </c>
      <c r="AH310">
        <f t="shared" si="21"/>
        <v>879</v>
      </c>
      <c r="AJ310">
        <v>32</v>
      </c>
      <c r="AK310">
        <f t="shared" si="19"/>
        <v>686</v>
      </c>
      <c r="AL310">
        <v>2</v>
      </c>
      <c r="AM310">
        <v>2</v>
      </c>
      <c r="AN310">
        <f t="shared" si="22"/>
        <v>758</v>
      </c>
      <c r="AP310">
        <v>76</v>
      </c>
      <c r="AQ310">
        <v>1000</v>
      </c>
      <c r="AR310">
        <v>53</v>
      </c>
      <c r="AS310">
        <v>14</v>
      </c>
      <c r="AT310">
        <f t="shared" si="23"/>
        <v>1000</v>
      </c>
    </row>
    <row r="311" spans="4:46">
      <c r="D311">
        <v>15</v>
      </c>
      <c r="E311">
        <v>5</v>
      </c>
      <c r="F311">
        <v>3</v>
      </c>
      <c r="Y311">
        <v>17</v>
      </c>
      <c r="Z311">
        <v>12</v>
      </c>
      <c r="AA311">
        <v>11</v>
      </c>
      <c r="AB311">
        <v>6</v>
      </c>
      <c r="AC311">
        <f t="shared" si="17"/>
        <v>929</v>
      </c>
      <c r="AD311">
        <v>9</v>
      </c>
      <c r="AE311">
        <f t="shared" si="18"/>
        <v>829</v>
      </c>
      <c r="AF311">
        <v>27</v>
      </c>
      <c r="AG311">
        <v>10</v>
      </c>
      <c r="AH311">
        <f t="shared" si="21"/>
        <v>861</v>
      </c>
      <c r="AJ311">
        <v>6</v>
      </c>
      <c r="AK311">
        <f t="shared" si="19"/>
        <v>681</v>
      </c>
      <c r="AL311">
        <v>2</v>
      </c>
      <c r="AM311">
        <v>2</v>
      </c>
      <c r="AN311">
        <f t="shared" si="22"/>
        <v>762</v>
      </c>
      <c r="AP311">
        <v>14</v>
      </c>
      <c r="AQ311">
        <v>1000</v>
      </c>
      <c r="AR311">
        <v>27</v>
      </c>
      <c r="AS311">
        <v>10</v>
      </c>
      <c r="AT311">
        <f t="shared" si="23"/>
        <v>987</v>
      </c>
    </row>
    <row r="312" spans="4:46">
      <c r="D312">
        <v>16</v>
      </c>
      <c r="E312">
        <v>0</v>
      </c>
      <c r="F312">
        <v>0</v>
      </c>
      <c r="Y312">
        <v>18</v>
      </c>
      <c r="Z312">
        <v>9</v>
      </c>
      <c r="AA312">
        <v>27</v>
      </c>
      <c r="AB312">
        <v>10</v>
      </c>
      <c r="AC312">
        <f t="shared" si="17"/>
        <v>911</v>
      </c>
      <c r="AD312">
        <v>7</v>
      </c>
      <c r="AE312">
        <f t="shared" si="18"/>
        <v>809</v>
      </c>
      <c r="AF312">
        <v>11</v>
      </c>
      <c r="AG312">
        <v>6</v>
      </c>
      <c r="AH312">
        <f t="shared" si="21"/>
        <v>857</v>
      </c>
      <c r="AJ312">
        <v>4</v>
      </c>
      <c r="AK312">
        <f t="shared" si="19"/>
        <v>658</v>
      </c>
      <c r="AL312">
        <v>2</v>
      </c>
      <c r="AM312">
        <v>2</v>
      </c>
      <c r="AN312">
        <f t="shared" si="22"/>
        <v>764</v>
      </c>
      <c r="AP312">
        <v>11</v>
      </c>
      <c r="AQ312">
        <f t="shared" si="20"/>
        <v>984</v>
      </c>
      <c r="AR312">
        <v>27</v>
      </c>
      <c r="AS312">
        <v>10</v>
      </c>
      <c r="AT312">
        <f t="shared" si="23"/>
        <v>971</v>
      </c>
    </row>
    <row r="313" spans="4:46">
      <c r="D313">
        <v>17</v>
      </c>
      <c r="E313">
        <v>0</v>
      </c>
      <c r="F313">
        <v>0</v>
      </c>
      <c r="Y313">
        <v>19</v>
      </c>
      <c r="Z313">
        <v>1</v>
      </c>
      <c r="AA313">
        <v>27</v>
      </c>
      <c r="AB313">
        <v>10</v>
      </c>
      <c r="AC313">
        <f t="shared" si="17"/>
        <v>885</v>
      </c>
      <c r="AD313">
        <v>0</v>
      </c>
      <c r="AE313">
        <f t="shared" si="18"/>
        <v>782</v>
      </c>
      <c r="AF313">
        <v>11</v>
      </c>
      <c r="AG313">
        <v>6</v>
      </c>
      <c r="AH313">
        <f t="shared" si="21"/>
        <v>846</v>
      </c>
      <c r="AJ313">
        <v>0</v>
      </c>
      <c r="AK313">
        <f t="shared" si="19"/>
        <v>631</v>
      </c>
      <c r="AL313">
        <v>2</v>
      </c>
      <c r="AM313">
        <v>2</v>
      </c>
      <c r="AN313">
        <f t="shared" si="22"/>
        <v>762</v>
      </c>
      <c r="AP313">
        <v>1</v>
      </c>
      <c r="AQ313">
        <f t="shared" si="20"/>
        <v>958</v>
      </c>
      <c r="AR313">
        <v>27</v>
      </c>
      <c r="AS313">
        <v>10</v>
      </c>
      <c r="AT313">
        <f t="shared" si="23"/>
        <v>945</v>
      </c>
    </row>
    <row r="314" spans="4:46">
      <c r="D314">
        <v>18</v>
      </c>
      <c r="E314">
        <v>0</v>
      </c>
      <c r="F314">
        <v>0</v>
      </c>
      <c r="Y314">
        <v>20</v>
      </c>
      <c r="Z314">
        <v>0</v>
      </c>
      <c r="AA314">
        <v>27</v>
      </c>
      <c r="AB314">
        <v>10</v>
      </c>
      <c r="AC314">
        <f t="shared" si="17"/>
        <v>858</v>
      </c>
      <c r="AD314">
        <v>0</v>
      </c>
      <c r="AE314">
        <f t="shared" si="18"/>
        <v>755</v>
      </c>
      <c r="AF314">
        <v>11</v>
      </c>
      <c r="AG314">
        <v>6</v>
      </c>
      <c r="AH314">
        <f t="shared" si="21"/>
        <v>835</v>
      </c>
      <c r="AJ314">
        <v>0</v>
      </c>
      <c r="AK314">
        <f t="shared" si="19"/>
        <v>604</v>
      </c>
      <c r="AL314">
        <v>2</v>
      </c>
      <c r="AM314">
        <v>2</v>
      </c>
      <c r="AN314">
        <f t="shared" si="22"/>
        <v>760</v>
      </c>
      <c r="AP314">
        <v>0</v>
      </c>
      <c r="AQ314">
        <f t="shared" si="20"/>
        <v>931</v>
      </c>
      <c r="AR314">
        <v>27</v>
      </c>
      <c r="AS314">
        <v>10</v>
      </c>
      <c r="AT314">
        <f t="shared" si="23"/>
        <v>918</v>
      </c>
    </row>
    <row r="315" spans="4:46">
      <c r="D315">
        <v>19</v>
      </c>
      <c r="E315">
        <v>0</v>
      </c>
      <c r="F315">
        <v>0</v>
      </c>
      <c r="Y315">
        <v>21</v>
      </c>
      <c r="Z315">
        <v>0</v>
      </c>
      <c r="AA315">
        <v>27</v>
      </c>
      <c r="AB315">
        <v>10</v>
      </c>
      <c r="AC315">
        <f t="shared" si="17"/>
        <v>831</v>
      </c>
      <c r="AD315">
        <v>0</v>
      </c>
      <c r="AE315">
        <f t="shared" si="18"/>
        <v>728</v>
      </c>
      <c r="AF315">
        <v>11</v>
      </c>
      <c r="AG315">
        <v>6</v>
      </c>
      <c r="AH315">
        <f t="shared" si="21"/>
        <v>824</v>
      </c>
      <c r="AJ315">
        <v>0</v>
      </c>
      <c r="AK315">
        <f t="shared" si="19"/>
        <v>577</v>
      </c>
      <c r="AL315">
        <v>2</v>
      </c>
      <c r="AM315">
        <v>2</v>
      </c>
      <c r="AN315">
        <f t="shared" si="22"/>
        <v>758</v>
      </c>
      <c r="AP315">
        <v>0</v>
      </c>
      <c r="AQ315">
        <f t="shared" si="20"/>
        <v>904</v>
      </c>
      <c r="AR315">
        <v>27</v>
      </c>
      <c r="AS315">
        <v>10</v>
      </c>
      <c r="AT315">
        <f t="shared" si="23"/>
        <v>891</v>
      </c>
    </row>
    <row r="316" spans="4:46">
      <c r="D316">
        <v>20</v>
      </c>
      <c r="E316">
        <v>0</v>
      </c>
      <c r="F316">
        <v>0</v>
      </c>
      <c r="Y316">
        <v>22</v>
      </c>
      <c r="Z316">
        <v>0</v>
      </c>
      <c r="AA316">
        <v>27</v>
      </c>
      <c r="AB316">
        <v>10</v>
      </c>
      <c r="AC316">
        <f t="shared" si="17"/>
        <v>804</v>
      </c>
      <c r="AD316">
        <v>0</v>
      </c>
      <c r="AE316">
        <f t="shared" si="18"/>
        <v>701</v>
      </c>
      <c r="AF316">
        <v>11</v>
      </c>
      <c r="AG316">
        <v>6</v>
      </c>
      <c r="AH316">
        <f t="shared" si="21"/>
        <v>813</v>
      </c>
      <c r="AJ316">
        <v>0</v>
      </c>
      <c r="AK316">
        <f t="shared" si="19"/>
        <v>550</v>
      </c>
      <c r="AL316">
        <v>2</v>
      </c>
      <c r="AM316">
        <v>2</v>
      </c>
      <c r="AN316">
        <f t="shared" si="22"/>
        <v>756</v>
      </c>
      <c r="AP316">
        <v>0</v>
      </c>
      <c r="AQ316">
        <f t="shared" si="20"/>
        <v>877</v>
      </c>
      <c r="AR316">
        <v>53</v>
      </c>
      <c r="AS316">
        <v>14</v>
      </c>
      <c r="AT316">
        <f t="shared" si="23"/>
        <v>838</v>
      </c>
    </row>
    <row r="317" spans="4:46">
      <c r="D317">
        <v>21</v>
      </c>
      <c r="E317">
        <v>0</v>
      </c>
      <c r="F317">
        <v>0</v>
      </c>
      <c r="Y317">
        <v>23</v>
      </c>
      <c r="Z317">
        <v>0</v>
      </c>
      <c r="AA317">
        <v>27</v>
      </c>
      <c r="AB317">
        <v>10</v>
      </c>
      <c r="AC317">
        <f t="shared" si="17"/>
        <v>777</v>
      </c>
      <c r="AD317">
        <v>0</v>
      </c>
      <c r="AE317">
        <f t="shared" si="18"/>
        <v>674</v>
      </c>
      <c r="AF317">
        <v>27</v>
      </c>
      <c r="AG317">
        <v>10</v>
      </c>
      <c r="AH317">
        <f t="shared" si="21"/>
        <v>786</v>
      </c>
      <c r="AJ317">
        <v>0</v>
      </c>
      <c r="AK317">
        <f t="shared" si="19"/>
        <v>523</v>
      </c>
      <c r="AL317">
        <v>2</v>
      </c>
      <c r="AM317">
        <v>2</v>
      </c>
      <c r="AN317">
        <f t="shared" si="22"/>
        <v>754</v>
      </c>
      <c r="AP317">
        <v>0</v>
      </c>
      <c r="AQ317">
        <f t="shared" si="20"/>
        <v>850</v>
      </c>
      <c r="AR317">
        <v>53</v>
      </c>
      <c r="AS317">
        <v>14</v>
      </c>
      <c r="AT317">
        <f t="shared" si="23"/>
        <v>785</v>
      </c>
    </row>
    <row r="318" spans="4:46">
      <c r="D318">
        <v>22</v>
      </c>
      <c r="E318">
        <v>0</v>
      </c>
      <c r="F318">
        <v>0</v>
      </c>
      <c r="Y318">
        <v>24</v>
      </c>
      <c r="Z318">
        <v>0</v>
      </c>
      <c r="AA318">
        <v>27</v>
      </c>
      <c r="AB318">
        <v>10</v>
      </c>
      <c r="AC318">
        <f t="shared" si="17"/>
        <v>750</v>
      </c>
      <c r="AD318">
        <v>0</v>
      </c>
      <c r="AE318">
        <f t="shared" si="18"/>
        <v>647</v>
      </c>
      <c r="AF318">
        <v>27</v>
      </c>
      <c r="AG318">
        <v>10</v>
      </c>
      <c r="AH318">
        <f t="shared" si="21"/>
        <v>759</v>
      </c>
      <c r="AJ318">
        <v>0</v>
      </c>
      <c r="AK318">
        <f t="shared" si="19"/>
        <v>496</v>
      </c>
      <c r="AL318">
        <v>2</v>
      </c>
      <c r="AM318">
        <v>2</v>
      </c>
      <c r="AN318">
        <f t="shared" si="22"/>
        <v>752</v>
      </c>
      <c r="AP318">
        <v>0</v>
      </c>
      <c r="AQ318">
        <f t="shared" si="20"/>
        <v>823</v>
      </c>
      <c r="AR318">
        <v>27</v>
      </c>
      <c r="AS318">
        <v>10</v>
      </c>
      <c r="AT318">
        <f t="shared" si="23"/>
        <v>758</v>
      </c>
    </row>
    <row r="319" spans="4:46">
      <c r="D319">
        <v>23</v>
      </c>
      <c r="E319">
        <v>0</v>
      </c>
      <c r="F319">
        <v>0</v>
      </c>
      <c r="AB319">
        <f>SUM(AB295:AB318)</f>
        <v>204</v>
      </c>
      <c r="AG319">
        <f>SUM($AB295:$AB306)+SUM(AG307:AG318)</f>
        <v>176</v>
      </c>
      <c r="AM319">
        <f>SUM($AB295:$AB306)+SUM(AM307:AM318)</f>
        <v>122</v>
      </c>
      <c r="AS319">
        <f>SUM($AB295:$AB306)+SUM(AS307:AS318)</f>
        <v>220</v>
      </c>
    </row>
    <row r="321" spans="6:46">
      <c r="Z321" t="s">
        <v>175</v>
      </c>
    </row>
    <row r="323" spans="6:46">
      <c r="Y323" t="s">
        <v>130</v>
      </c>
      <c r="Z323" t="s">
        <v>165</v>
      </c>
      <c r="AA323" t="s">
        <v>166</v>
      </c>
      <c r="AB323" t="s">
        <v>173</v>
      </c>
      <c r="AC323" t="s">
        <v>167</v>
      </c>
    </row>
    <row r="324" spans="6:46">
      <c r="F324" t="s">
        <v>93</v>
      </c>
      <c r="Y324">
        <v>1</v>
      </c>
      <c r="Z324">
        <v>0</v>
      </c>
      <c r="AA324">
        <v>11</v>
      </c>
      <c r="AB324">
        <v>6</v>
      </c>
      <c r="AC324">
        <f>750-AA324+Z324</f>
        <v>739</v>
      </c>
      <c r="AD324">
        <v>0</v>
      </c>
      <c r="AE324">
        <f>750+AD324-$AA324</f>
        <v>739</v>
      </c>
      <c r="AJ324">
        <v>0</v>
      </c>
      <c r="AK324">
        <f>750+AJ324-$AA324</f>
        <v>739</v>
      </c>
      <c r="AP324">
        <v>0</v>
      </c>
      <c r="AQ324">
        <f>750+AP324-$AA324</f>
        <v>739</v>
      </c>
    </row>
    <row r="325" spans="6:46">
      <c r="Y325">
        <v>2</v>
      </c>
      <c r="Z325">
        <v>0</v>
      </c>
      <c r="AA325">
        <v>11</v>
      </c>
      <c r="AB325">
        <v>6</v>
      </c>
      <c r="AC325">
        <f>AC324-AA325+Z325</f>
        <v>728</v>
      </c>
      <c r="AD325">
        <v>0</v>
      </c>
      <c r="AE325">
        <f>AE324+AD325-$AA325</f>
        <v>728</v>
      </c>
      <c r="AJ325">
        <v>0</v>
      </c>
      <c r="AK325">
        <f>AK324+AJ325-$AA325</f>
        <v>728</v>
      </c>
      <c r="AP325">
        <v>0</v>
      </c>
      <c r="AQ325">
        <f>AQ324+AP325-$AA325</f>
        <v>728</v>
      </c>
    </row>
    <row r="326" spans="6:46">
      <c r="G326" t="s">
        <v>25</v>
      </c>
      <c r="H326" t="s">
        <v>94</v>
      </c>
      <c r="I326" t="s">
        <v>95</v>
      </c>
      <c r="J326" t="s">
        <v>96</v>
      </c>
      <c r="Y326">
        <v>3</v>
      </c>
      <c r="Z326">
        <v>0</v>
      </c>
      <c r="AA326">
        <v>11</v>
      </c>
      <c r="AB326">
        <v>6</v>
      </c>
      <c r="AC326">
        <f t="shared" ref="AC326:AC347" si="24">AC325-AA326+Z326</f>
        <v>717</v>
      </c>
      <c r="AD326">
        <v>0</v>
      </c>
      <c r="AE326">
        <f t="shared" ref="AE326:AE347" si="25">AE325+AD326-$AA326</f>
        <v>717</v>
      </c>
      <c r="AJ326">
        <v>0</v>
      </c>
      <c r="AK326">
        <f t="shared" ref="AK326:AK347" si="26">AK325+AJ326-$AA326</f>
        <v>717</v>
      </c>
      <c r="AP326">
        <v>0</v>
      </c>
      <c r="AQ326">
        <f t="shared" ref="AQ326:AQ347" si="27">AQ325+AP326-$AA326</f>
        <v>717</v>
      </c>
    </row>
    <row r="327" spans="6:46">
      <c r="G327">
        <v>0</v>
      </c>
      <c r="H327">
        <v>2500</v>
      </c>
      <c r="I327">
        <v>2500</v>
      </c>
      <c r="J327">
        <v>2500</v>
      </c>
      <c r="Y327">
        <v>4</v>
      </c>
      <c r="Z327">
        <v>0</v>
      </c>
      <c r="AA327">
        <v>11</v>
      </c>
      <c r="AB327">
        <v>6</v>
      </c>
      <c r="AC327">
        <f t="shared" si="24"/>
        <v>706</v>
      </c>
      <c r="AD327">
        <v>0</v>
      </c>
      <c r="AE327">
        <f t="shared" si="25"/>
        <v>706</v>
      </c>
      <c r="AJ327">
        <v>0</v>
      </c>
      <c r="AK327">
        <f t="shared" si="26"/>
        <v>706</v>
      </c>
      <c r="AP327">
        <v>0</v>
      </c>
      <c r="AQ327">
        <f t="shared" si="27"/>
        <v>706</v>
      </c>
    </row>
    <row r="328" spans="6:46">
      <c r="G328">
        <v>1</v>
      </c>
      <c r="H328">
        <v>2472.5</v>
      </c>
      <c r="I328">
        <v>2445</v>
      </c>
      <c r="J328">
        <v>2417.5</v>
      </c>
      <c r="Y328">
        <v>5</v>
      </c>
      <c r="Z328">
        <v>0</v>
      </c>
      <c r="AA328">
        <v>11</v>
      </c>
      <c r="AB328">
        <v>6</v>
      </c>
      <c r="AC328">
        <f t="shared" si="24"/>
        <v>695</v>
      </c>
      <c r="AD328">
        <v>0</v>
      </c>
      <c r="AE328">
        <f t="shared" si="25"/>
        <v>695</v>
      </c>
      <c r="AJ328">
        <v>0</v>
      </c>
      <c r="AK328">
        <f t="shared" si="26"/>
        <v>695</v>
      </c>
      <c r="AP328">
        <v>0</v>
      </c>
      <c r="AQ328">
        <f t="shared" si="27"/>
        <v>695</v>
      </c>
    </row>
    <row r="329" spans="6:46">
      <c r="G329">
        <v>2</v>
      </c>
      <c r="H329">
        <v>2445</v>
      </c>
      <c r="I329">
        <v>2390</v>
      </c>
      <c r="J329">
        <v>2335</v>
      </c>
      <c r="Y329">
        <v>6</v>
      </c>
      <c r="Z329">
        <v>0</v>
      </c>
      <c r="AA329">
        <v>11</v>
      </c>
      <c r="AB329">
        <v>6</v>
      </c>
      <c r="AC329">
        <f t="shared" si="24"/>
        <v>684</v>
      </c>
      <c r="AD329">
        <v>0</v>
      </c>
      <c r="AE329">
        <f t="shared" si="25"/>
        <v>684</v>
      </c>
      <c r="AJ329">
        <v>0</v>
      </c>
      <c r="AK329">
        <f t="shared" si="26"/>
        <v>684</v>
      </c>
      <c r="AP329">
        <v>0</v>
      </c>
      <c r="AQ329">
        <f t="shared" si="27"/>
        <v>684</v>
      </c>
    </row>
    <row r="330" spans="6:46">
      <c r="G330">
        <v>3</v>
      </c>
      <c r="H330">
        <v>2417.5</v>
      </c>
      <c r="I330">
        <v>2335</v>
      </c>
      <c r="J330">
        <v>2252.5</v>
      </c>
      <c r="Y330">
        <v>7</v>
      </c>
      <c r="Z330">
        <v>7</v>
      </c>
      <c r="AA330">
        <v>11</v>
      </c>
      <c r="AB330">
        <v>6</v>
      </c>
      <c r="AC330">
        <f t="shared" si="24"/>
        <v>680</v>
      </c>
      <c r="AD330">
        <v>6</v>
      </c>
      <c r="AE330">
        <f t="shared" si="25"/>
        <v>679</v>
      </c>
      <c r="AJ330">
        <v>4</v>
      </c>
      <c r="AK330">
        <f t="shared" si="26"/>
        <v>677</v>
      </c>
      <c r="AP330">
        <v>9</v>
      </c>
      <c r="AQ330">
        <f t="shared" si="27"/>
        <v>682</v>
      </c>
    </row>
    <row r="331" spans="6:46">
      <c r="G331">
        <v>4</v>
      </c>
      <c r="H331">
        <v>2390</v>
      </c>
      <c r="I331">
        <v>2280</v>
      </c>
      <c r="J331">
        <v>2170</v>
      </c>
      <c r="Y331">
        <v>8</v>
      </c>
      <c r="Z331">
        <v>16</v>
      </c>
      <c r="AA331">
        <v>27</v>
      </c>
      <c r="AB331">
        <v>10</v>
      </c>
      <c r="AC331">
        <f t="shared" si="24"/>
        <v>669</v>
      </c>
      <c r="AD331">
        <v>13</v>
      </c>
      <c r="AE331">
        <f t="shared" si="25"/>
        <v>665</v>
      </c>
      <c r="AJ331">
        <v>8</v>
      </c>
      <c r="AK331">
        <f t="shared" si="26"/>
        <v>658</v>
      </c>
      <c r="AP331">
        <v>19</v>
      </c>
      <c r="AQ331">
        <f t="shared" si="27"/>
        <v>674</v>
      </c>
    </row>
    <row r="332" spans="6:46">
      <c r="G332">
        <v>5</v>
      </c>
      <c r="H332">
        <v>2362.5</v>
      </c>
      <c r="I332">
        <v>2225</v>
      </c>
      <c r="J332">
        <v>2087.5</v>
      </c>
      <c r="Y332">
        <v>9</v>
      </c>
      <c r="Z332">
        <v>29</v>
      </c>
      <c r="AA332">
        <v>27</v>
      </c>
      <c r="AB332">
        <v>10</v>
      </c>
      <c r="AC332">
        <f t="shared" si="24"/>
        <v>671</v>
      </c>
      <c r="AD332">
        <v>23</v>
      </c>
      <c r="AE332">
        <f t="shared" si="25"/>
        <v>661</v>
      </c>
      <c r="AJ332">
        <v>15</v>
      </c>
      <c r="AK332">
        <f t="shared" si="26"/>
        <v>646</v>
      </c>
      <c r="AP332">
        <v>35</v>
      </c>
      <c r="AQ332">
        <f t="shared" si="27"/>
        <v>682</v>
      </c>
    </row>
    <row r="333" spans="6:46">
      <c r="G333">
        <v>6</v>
      </c>
      <c r="H333">
        <v>2335</v>
      </c>
      <c r="I333">
        <v>2170</v>
      </c>
      <c r="J333">
        <v>2005</v>
      </c>
      <c r="Y333">
        <v>10</v>
      </c>
      <c r="Z333">
        <v>28</v>
      </c>
      <c r="AA333">
        <v>27</v>
      </c>
      <c r="AB333">
        <v>10</v>
      </c>
      <c r="AC333">
        <f t="shared" si="24"/>
        <v>672</v>
      </c>
      <c r="AD333">
        <v>22</v>
      </c>
      <c r="AE333">
        <f t="shared" si="25"/>
        <v>656</v>
      </c>
      <c r="AJ333">
        <v>14</v>
      </c>
      <c r="AK333">
        <f t="shared" si="26"/>
        <v>633</v>
      </c>
      <c r="AP333">
        <v>33</v>
      </c>
      <c r="AQ333">
        <f t="shared" si="27"/>
        <v>688</v>
      </c>
    </row>
    <row r="334" spans="6:46">
      <c r="G334">
        <v>7</v>
      </c>
      <c r="H334">
        <v>2307.5</v>
      </c>
      <c r="I334">
        <v>2115</v>
      </c>
      <c r="J334">
        <v>1922.5</v>
      </c>
      <c r="Y334">
        <v>11</v>
      </c>
      <c r="Z334">
        <v>25</v>
      </c>
      <c r="AA334">
        <v>27</v>
      </c>
      <c r="AB334">
        <v>10</v>
      </c>
      <c r="AC334">
        <f t="shared" si="24"/>
        <v>670</v>
      </c>
      <c r="AD334">
        <v>20</v>
      </c>
      <c r="AE334">
        <f t="shared" si="25"/>
        <v>649</v>
      </c>
      <c r="AJ334">
        <v>12</v>
      </c>
      <c r="AK334">
        <f t="shared" si="26"/>
        <v>618</v>
      </c>
      <c r="AP334">
        <v>30</v>
      </c>
      <c r="AQ334">
        <f t="shared" si="27"/>
        <v>691</v>
      </c>
    </row>
    <row r="335" spans="6:46">
      <c r="G335">
        <v>8</v>
      </c>
      <c r="H335">
        <v>2280</v>
      </c>
      <c r="I335">
        <v>2060</v>
      </c>
      <c r="J335">
        <v>1840</v>
      </c>
      <c r="Y335">
        <v>12</v>
      </c>
      <c r="Z335">
        <v>68</v>
      </c>
      <c r="AA335">
        <v>27</v>
      </c>
      <c r="AB335">
        <v>10</v>
      </c>
      <c r="AC335">
        <f t="shared" si="24"/>
        <v>711</v>
      </c>
      <c r="AD335">
        <v>54</v>
      </c>
      <c r="AE335">
        <f t="shared" si="25"/>
        <v>676</v>
      </c>
      <c r="AJ335">
        <v>34</v>
      </c>
      <c r="AK335">
        <f t="shared" si="26"/>
        <v>625</v>
      </c>
      <c r="AP335">
        <v>81</v>
      </c>
      <c r="AQ335">
        <f t="shared" si="27"/>
        <v>745</v>
      </c>
    </row>
    <row r="336" spans="6:46">
      <c r="G336">
        <v>9</v>
      </c>
      <c r="H336">
        <v>2252.5</v>
      </c>
      <c r="I336">
        <v>2005</v>
      </c>
      <c r="J336">
        <v>1757.5</v>
      </c>
      <c r="Y336">
        <v>13</v>
      </c>
      <c r="Z336">
        <v>80</v>
      </c>
      <c r="AA336">
        <v>27</v>
      </c>
      <c r="AB336">
        <v>10</v>
      </c>
      <c r="AC336">
        <f t="shared" si="24"/>
        <v>764</v>
      </c>
      <c r="AD336">
        <v>64</v>
      </c>
      <c r="AE336">
        <f t="shared" si="25"/>
        <v>713</v>
      </c>
      <c r="AF336">
        <v>11</v>
      </c>
      <c r="AG336">
        <v>6</v>
      </c>
      <c r="AH336">
        <f>AE335+AD336-AF336</f>
        <v>729</v>
      </c>
      <c r="AJ336">
        <v>40</v>
      </c>
      <c r="AK336">
        <f t="shared" si="26"/>
        <v>638</v>
      </c>
      <c r="AL336">
        <v>2</v>
      </c>
      <c r="AM336">
        <v>2</v>
      </c>
      <c r="AN336">
        <f>AK335+AJ336-AL336</f>
        <v>663</v>
      </c>
      <c r="AP336">
        <v>97</v>
      </c>
      <c r="AQ336">
        <f t="shared" si="27"/>
        <v>815</v>
      </c>
      <c r="AR336">
        <v>53</v>
      </c>
      <c r="AS336">
        <v>14</v>
      </c>
      <c r="AT336">
        <f>AQ335+AP336-AR336</f>
        <v>789</v>
      </c>
    </row>
    <row r="337" spans="7:46">
      <c r="G337">
        <v>10</v>
      </c>
      <c r="H337">
        <v>2225</v>
      </c>
      <c r="I337">
        <v>1950</v>
      </c>
      <c r="J337">
        <v>1675</v>
      </c>
      <c r="Y337">
        <v>14</v>
      </c>
      <c r="Z337">
        <v>75</v>
      </c>
      <c r="AA337">
        <v>27</v>
      </c>
      <c r="AB337">
        <v>10</v>
      </c>
      <c r="AC337">
        <f t="shared" si="24"/>
        <v>812</v>
      </c>
      <c r="AD337">
        <v>60</v>
      </c>
      <c r="AE337">
        <f t="shared" si="25"/>
        <v>746</v>
      </c>
      <c r="AF337">
        <v>11</v>
      </c>
      <c r="AG337">
        <v>6</v>
      </c>
      <c r="AH337">
        <f>AH336+AD337-AF337</f>
        <v>778</v>
      </c>
      <c r="AJ337">
        <v>38</v>
      </c>
      <c r="AK337">
        <f t="shared" si="26"/>
        <v>649</v>
      </c>
      <c r="AL337">
        <v>2</v>
      </c>
      <c r="AM337">
        <v>2</v>
      </c>
      <c r="AN337">
        <f>AN336+AJ337-AL337</f>
        <v>699</v>
      </c>
      <c r="AP337">
        <v>90</v>
      </c>
      <c r="AQ337">
        <f t="shared" si="27"/>
        <v>878</v>
      </c>
      <c r="AR337">
        <v>53</v>
      </c>
      <c r="AS337">
        <v>14</v>
      </c>
      <c r="AT337">
        <f>AT336+AP337-AR337</f>
        <v>826</v>
      </c>
    </row>
    <row r="338" spans="7:46">
      <c r="G338">
        <v>11</v>
      </c>
      <c r="H338">
        <v>2197.5</v>
      </c>
      <c r="I338">
        <v>1895</v>
      </c>
      <c r="J338">
        <v>1592.5</v>
      </c>
      <c r="Y338">
        <v>15</v>
      </c>
      <c r="Z338">
        <v>97</v>
      </c>
      <c r="AA338">
        <v>27</v>
      </c>
      <c r="AB338">
        <v>10</v>
      </c>
      <c r="AC338">
        <f t="shared" si="24"/>
        <v>882</v>
      </c>
      <c r="AD338">
        <v>78</v>
      </c>
      <c r="AE338">
        <f t="shared" si="25"/>
        <v>797</v>
      </c>
      <c r="AF338">
        <v>11</v>
      </c>
      <c r="AG338">
        <v>6</v>
      </c>
      <c r="AH338">
        <f t="shared" ref="AH338:AH347" si="28">AH337+AD338-AF338</f>
        <v>845</v>
      </c>
      <c r="AJ338">
        <v>49</v>
      </c>
      <c r="AK338">
        <f t="shared" si="26"/>
        <v>671</v>
      </c>
      <c r="AL338">
        <v>2</v>
      </c>
      <c r="AM338">
        <v>2</v>
      </c>
      <c r="AN338">
        <f t="shared" ref="AN338:AN347" si="29">AN337+AJ338-AL338</f>
        <v>746</v>
      </c>
      <c r="AP338">
        <v>116</v>
      </c>
      <c r="AQ338">
        <f t="shared" si="27"/>
        <v>967</v>
      </c>
      <c r="AR338">
        <v>53</v>
      </c>
      <c r="AS338">
        <v>14</v>
      </c>
      <c r="AT338">
        <f t="shared" ref="AT338:AT347" si="30">AT337+AP338-AR338</f>
        <v>889</v>
      </c>
    </row>
    <row r="339" spans="7:46">
      <c r="G339">
        <v>12</v>
      </c>
      <c r="H339">
        <v>2170</v>
      </c>
      <c r="I339">
        <v>1840</v>
      </c>
      <c r="J339">
        <v>1510</v>
      </c>
      <c r="Y339">
        <v>16</v>
      </c>
      <c r="Z339">
        <v>63</v>
      </c>
      <c r="AA339">
        <v>27</v>
      </c>
      <c r="AB339">
        <v>10</v>
      </c>
      <c r="AC339">
        <f t="shared" si="24"/>
        <v>918</v>
      </c>
      <c r="AD339">
        <v>51</v>
      </c>
      <c r="AE339">
        <f t="shared" si="25"/>
        <v>821</v>
      </c>
      <c r="AF339">
        <v>11</v>
      </c>
      <c r="AG339">
        <v>6</v>
      </c>
      <c r="AH339">
        <f t="shared" si="28"/>
        <v>885</v>
      </c>
      <c r="AJ339">
        <v>32</v>
      </c>
      <c r="AK339">
        <f t="shared" si="26"/>
        <v>676</v>
      </c>
      <c r="AL339">
        <v>2</v>
      </c>
      <c r="AM339">
        <v>2</v>
      </c>
      <c r="AN339">
        <f t="shared" si="29"/>
        <v>776</v>
      </c>
      <c r="AP339">
        <v>76</v>
      </c>
      <c r="AQ339">
        <f t="shared" si="27"/>
        <v>1016</v>
      </c>
      <c r="AR339">
        <v>53</v>
      </c>
      <c r="AS339">
        <v>14</v>
      </c>
      <c r="AT339">
        <f t="shared" si="30"/>
        <v>912</v>
      </c>
    </row>
    <row r="340" spans="7:46">
      <c r="G340">
        <v>13</v>
      </c>
      <c r="H340">
        <v>2142.5</v>
      </c>
      <c r="I340">
        <v>1785</v>
      </c>
      <c r="J340">
        <v>1427.5</v>
      </c>
      <c r="Y340">
        <v>17</v>
      </c>
      <c r="Z340">
        <v>12</v>
      </c>
      <c r="AA340">
        <v>27</v>
      </c>
      <c r="AB340">
        <v>10</v>
      </c>
      <c r="AC340">
        <f t="shared" si="24"/>
        <v>903</v>
      </c>
      <c r="AD340">
        <v>9</v>
      </c>
      <c r="AE340">
        <f t="shared" si="25"/>
        <v>803</v>
      </c>
      <c r="AF340">
        <v>11</v>
      </c>
      <c r="AG340">
        <v>6</v>
      </c>
      <c r="AH340">
        <f t="shared" si="28"/>
        <v>883</v>
      </c>
      <c r="AJ340">
        <v>6</v>
      </c>
      <c r="AK340">
        <f t="shared" si="26"/>
        <v>655</v>
      </c>
      <c r="AL340">
        <v>2</v>
      </c>
      <c r="AM340">
        <v>2</v>
      </c>
      <c r="AN340">
        <f t="shared" si="29"/>
        <v>780</v>
      </c>
      <c r="AP340">
        <v>14</v>
      </c>
      <c r="AQ340">
        <f t="shared" si="27"/>
        <v>1003</v>
      </c>
      <c r="AR340">
        <v>27</v>
      </c>
      <c r="AS340">
        <v>10</v>
      </c>
      <c r="AT340">
        <f t="shared" si="30"/>
        <v>899</v>
      </c>
    </row>
    <row r="341" spans="7:46">
      <c r="G341">
        <v>14</v>
      </c>
      <c r="H341">
        <v>2115</v>
      </c>
      <c r="I341">
        <v>1730</v>
      </c>
      <c r="J341">
        <v>1345</v>
      </c>
      <c r="Y341">
        <v>18</v>
      </c>
      <c r="Z341">
        <v>9</v>
      </c>
      <c r="AA341">
        <v>27</v>
      </c>
      <c r="AB341">
        <v>10</v>
      </c>
      <c r="AC341">
        <f t="shared" si="24"/>
        <v>885</v>
      </c>
      <c r="AD341">
        <v>7</v>
      </c>
      <c r="AE341">
        <f t="shared" si="25"/>
        <v>783</v>
      </c>
      <c r="AF341">
        <v>11</v>
      </c>
      <c r="AG341">
        <v>6</v>
      </c>
      <c r="AH341">
        <f t="shared" si="28"/>
        <v>879</v>
      </c>
      <c r="AJ341">
        <v>4</v>
      </c>
      <c r="AK341">
        <f t="shared" si="26"/>
        <v>632</v>
      </c>
      <c r="AL341">
        <v>6</v>
      </c>
      <c r="AM341">
        <v>4</v>
      </c>
      <c r="AN341">
        <f t="shared" si="29"/>
        <v>778</v>
      </c>
      <c r="AP341">
        <v>11</v>
      </c>
      <c r="AQ341">
        <f t="shared" si="27"/>
        <v>987</v>
      </c>
      <c r="AR341">
        <v>27</v>
      </c>
      <c r="AS341">
        <v>10</v>
      </c>
      <c r="AT341">
        <f t="shared" si="30"/>
        <v>883</v>
      </c>
    </row>
    <row r="342" spans="7:46">
      <c r="G342">
        <v>15</v>
      </c>
      <c r="H342">
        <v>2087.5</v>
      </c>
      <c r="I342">
        <v>1675</v>
      </c>
      <c r="J342">
        <v>1262.5</v>
      </c>
      <c r="Y342">
        <v>19</v>
      </c>
      <c r="Z342">
        <v>1</v>
      </c>
      <c r="AA342">
        <v>27</v>
      </c>
      <c r="AB342">
        <v>10</v>
      </c>
      <c r="AC342">
        <f t="shared" si="24"/>
        <v>859</v>
      </c>
      <c r="AD342">
        <v>0</v>
      </c>
      <c r="AE342">
        <f t="shared" si="25"/>
        <v>756</v>
      </c>
      <c r="AF342">
        <v>11</v>
      </c>
      <c r="AG342">
        <v>6</v>
      </c>
      <c r="AH342">
        <f t="shared" si="28"/>
        <v>868</v>
      </c>
      <c r="AJ342">
        <v>0</v>
      </c>
      <c r="AK342">
        <f t="shared" si="26"/>
        <v>605</v>
      </c>
      <c r="AL342">
        <v>6</v>
      </c>
      <c r="AM342">
        <v>4</v>
      </c>
      <c r="AN342">
        <f t="shared" si="29"/>
        <v>772</v>
      </c>
      <c r="AP342">
        <v>1</v>
      </c>
      <c r="AQ342">
        <f t="shared" si="27"/>
        <v>961</v>
      </c>
      <c r="AR342">
        <v>27</v>
      </c>
      <c r="AS342">
        <v>10</v>
      </c>
      <c r="AT342">
        <f t="shared" si="30"/>
        <v>857</v>
      </c>
    </row>
    <row r="343" spans="7:46">
      <c r="G343">
        <v>16</v>
      </c>
      <c r="H343">
        <v>2060</v>
      </c>
      <c r="I343">
        <v>1620</v>
      </c>
      <c r="J343">
        <v>1180</v>
      </c>
      <c r="Y343">
        <v>20</v>
      </c>
      <c r="Z343">
        <v>0</v>
      </c>
      <c r="AA343">
        <v>27</v>
      </c>
      <c r="AB343">
        <v>10</v>
      </c>
      <c r="AC343">
        <f t="shared" si="24"/>
        <v>832</v>
      </c>
      <c r="AD343">
        <v>0</v>
      </c>
      <c r="AE343">
        <f t="shared" si="25"/>
        <v>729</v>
      </c>
      <c r="AF343">
        <v>27</v>
      </c>
      <c r="AG343">
        <v>10</v>
      </c>
      <c r="AH343">
        <f t="shared" si="28"/>
        <v>841</v>
      </c>
      <c r="AJ343">
        <v>0</v>
      </c>
      <c r="AK343">
        <f t="shared" si="26"/>
        <v>578</v>
      </c>
      <c r="AL343">
        <v>6</v>
      </c>
      <c r="AM343">
        <v>4</v>
      </c>
      <c r="AN343">
        <f t="shared" si="29"/>
        <v>766</v>
      </c>
      <c r="AP343">
        <v>0</v>
      </c>
      <c r="AQ343">
        <f t="shared" si="27"/>
        <v>934</v>
      </c>
      <c r="AR343">
        <v>27</v>
      </c>
      <c r="AS343">
        <v>10</v>
      </c>
      <c r="AT343">
        <f t="shared" si="30"/>
        <v>830</v>
      </c>
    </row>
    <row r="344" spans="7:46">
      <c r="G344">
        <v>17</v>
      </c>
      <c r="H344">
        <v>2032.5</v>
      </c>
      <c r="I344">
        <v>1565</v>
      </c>
      <c r="J344">
        <v>1097.5</v>
      </c>
      <c r="Y344">
        <v>21</v>
      </c>
      <c r="Z344">
        <v>0</v>
      </c>
      <c r="AA344">
        <v>27</v>
      </c>
      <c r="AB344">
        <v>10</v>
      </c>
      <c r="AC344">
        <f t="shared" si="24"/>
        <v>805</v>
      </c>
      <c r="AD344">
        <v>0</v>
      </c>
      <c r="AE344">
        <f t="shared" si="25"/>
        <v>702</v>
      </c>
      <c r="AF344">
        <v>27</v>
      </c>
      <c r="AG344">
        <v>10</v>
      </c>
      <c r="AH344">
        <f t="shared" si="28"/>
        <v>814</v>
      </c>
      <c r="AJ344">
        <v>0</v>
      </c>
      <c r="AK344">
        <f t="shared" si="26"/>
        <v>551</v>
      </c>
      <c r="AL344">
        <v>6</v>
      </c>
      <c r="AM344">
        <v>4</v>
      </c>
      <c r="AN344">
        <f t="shared" si="29"/>
        <v>760</v>
      </c>
      <c r="AP344">
        <v>0</v>
      </c>
      <c r="AQ344">
        <f t="shared" si="27"/>
        <v>907</v>
      </c>
      <c r="AR344">
        <v>27</v>
      </c>
      <c r="AS344">
        <v>10</v>
      </c>
      <c r="AT344">
        <f t="shared" si="30"/>
        <v>803</v>
      </c>
    </row>
    <row r="345" spans="7:46">
      <c r="G345">
        <v>18</v>
      </c>
      <c r="H345">
        <v>2005</v>
      </c>
      <c r="I345">
        <v>1510</v>
      </c>
      <c r="J345">
        <v>1015</v>
      </c>
      <c r="Y345">
        <v>22</v>
      </c>
      <c r="Z345">
        <v>0</v>
      </c>
      <c r="AA345">
        <v>27</v>
      </c>
      <c r="AB345">
        <v>10</v>
      </c>
      <c r="AC345">
        <f t="shared" si="24"/>
        <v>778</v>
      </c>
      <c r="AD345">
        <v>0</v>
      </c>
      <c r="AE345">
        <f t="shared" si="25"/>
        <v>675</v>
      </c>
      <c r="AF345">
        <v>27</v>
      </c>
      <c r="AG345">
        <v>10</v>
      </c>
      <c r="AH345">
        <f t="shared" si="28"/>
        <v>787</v>
      </c>
      <c r="AJ345">
        <v>0</v>
      </c>
      <c r="AK345">
        <f t="shared" si="26"/>
        <v>524</v>
      </c>
      <c r="AL345">
        <v>6</v>
      </c>
      <c r="AM345">
        <v>4</v>
      </c>
      <c r="AN345">
        <f t="shared" si="29"/>
        <v>754</v>
      </c>
      <c r="AP345">
        <v>0</v>
      </c>
      <c r="AQ345">
        <f t="shared" si="27"/>
        <v>880</v>
      </c>
      <c r="AR345">
        <v>27</v>
      </c>
      <c r="AS345">
        <v>10</v>
      </c>
      <c r="AT345">
        <f t="shared" si="30"/>
        <v>776</v>
      </c>
    </row>
    <row r="346" spans="7:46">
      <c r="G346">
        <v>19</v>
      </c>
      <c r="H346">
        <v>1977.5</v>
      </c>
      <c r="I346">
        <v>1455</v>
      </c>
      <c r="J346">
        <v>932.5</v>
      </c>
      <c r="Y346">
        <v>23</v>
      </c>
      <c r="Z346">
        <v>0</v>
      </c>
      <c r="AA346">
        <v>11</v>
      </c>
      <c r="AB346">
        <v>6</v>
      </c>
      <c r="AC346">
        <f t="shared" si="24"/>
        <v>767</v>
      </c>
      <c r="AD346">
        <v>0</v>
      </c>
      <c r="AE346">
        <f t="shared" si="25"/>
        <v>664</v>
      </c>
      <c r="AF346">
        <v>11</v>
      </c>
      <c r="AG346">
        <v>6</v>
      </c>
      <c r="AH346">
        <f t="shared" si="28"/>
        <v>776</v>
      </c>
      <c r="AJ346">
        <v>0</v>
      </c>
      <c r="AK346">
        <f t="shared" si="26"/>
        <v>513</v>
      </c>
      <c r="AL346">
        <v>2</v>
      </c>
      <c r="AM346">
        <v>2</v>
      </c>
      <c r="AN346">
        <f t="shared" si="29"/>
        <v>752</v>
      </c>
      <c r="AP346">
        <v>0</v>
      </c>
      <c r="AQ346">
        <f t="shared" si="27"/>
        <v>869</v>
      </c>
      <c r="AR346">
        <v>11</v>
      </c>
      <c r="AS346">
        <v>6</v>
      </c>
      <c r="AT346">
        <f t="shared" si="30"/>
        <v>765</v>
      </c>
    </row>
    <row r="347" spans="7:46">
      <c r="G347">
        <v>20</v>
      </c>
      <c r="H347">
        <v>1950</v>
      </c>
      <c r="I347">
        <v>1400</v>
      </c>
      <c r="J347">
        <v>850</v>
      </c>
      <c r="Y347">
        <v>24</v>
      </c>
      <c r="Z347">
        <v>0</v>
      </c>
      <c r="AA347">
        <v>11</v>
      </c>
      <c r="AB347">
        <v>6</v>
      </c>
      <c r="AC347">
        <f t="shared" si="24"/>
        <v>756</v>
      </c>
      <c r="AD347">
        <v>0</v>
      </c>
      <c r="AE347">
        <f t="shared" si="25"/>
        <v>653</v>
      </c>
      <c r="AF347">
        <v>11</v>
      </c>
      <c r="AG347">
        <v>6</v>
      </c>
      <c r="AH347">
        <f t="shared" si="28"/>
        <v>765</v>
      </c>
      <c r="AJ347">
        <v>0</v>
      </c>
      <c r="AK347">
        <f t="shared" si="26"/>
        <v>502</v>
      </c>
      <c r="AL347">
        <v>2</v>
      </c>
      <c r="AM347">
        <v>2</v>
      </c>
      <c r="AN347">
        <f t="shared" si="29"/>
        <v>750</v>
      </c>
      <c r="AP347">
        <v>0</v>
      </c>
      <c r="AQ347">
        <f t="shared" si="27"/>
        <v>858</v>
      </c>
      <c r="AR347">
        <v>11</v>
      </c>
      <c r="AS347">
        <v>6</v>
      </c>
      <c r="AT347">
        <f t="shared" si="30"/>
        <v>754</v>
      </c>
    </row>
    <row r="348" spans="7:46">
      <c r="G348">
        <v>21</v>
      </c>
      <c r="H348">
        <v>1922.5</v>
      </c>
      <c r="I348">
        <v>1345</v>
      </c>
      <c r="J348">
        <v>767.5</v>
      </c>
      <c r="AB348">
        <f>SUM(AB324:AB347)</f>
        <v>204</v>
      </c>
      <c r="AG348">
        <f>SUM($AB324:$AB335)+SUM(AG336:AG347)</f>
        <v>176</v>
      </c>
      <c r="AM348">
        <f>SUM($AB324:$AB335)+SUM(AM336:AM347)</f>
        <v>126</v>
      </c>
      <c r="AS348">
        <f>SUM($AB324:$AB335)+SUM(AS336:AS347)</f>
        <v>220</v>
      </c>
    </row>
    <row r="349" spans="7:46">
      <c r="G349">
        <v>22</v>
      </c>
      <c r="H349">
        <v>1895</v>
      </c>
      <c r="I349">
        <v>1290</v>
      </c>
      <c r="J349">
        <v>685</v>
      </c>
    </row>
    <row r="350" spans="7:46">
      <c r="G350">
        <v>23</v>
      </c>
      <c r="H350">
        <v>1867.5</v>
      </c>
      <c r="I350">
        <v>1235</v>
      </c>
      <c r="J350">
        <v>602.5</v>
      </c>
      <c r="N350" t="s">
        <v>97</v>
      </c>
      <c r="Z350" t="s">
        <v>103</v>
      </c>
    </row>
    <row r="351" spans="7:46">
      <c r="G351">
        <v>24</v>
      </c>
      <c r="H351">
        <v>1840</v>
      </c>
      <c r="I351">
        <v>1180</v>
      </c>
      <c r="J351">
        <v>520</v>
      </c>
      <c r="Y351" t="s">
        <v>130</v>
      </c>
      <c r="Z351" t="s">
        <v>165</v>
      </c>
      <c r="AA351" t="s">
        <v>166</v>
      </c>
    </row>
    <row r="352" spans="7:46">
      <c r="G352">
        <v>25</v>
      </c>
      <c r="H352">
        <v>1812.5</v>
      </c>
      <c r="I352">
        <v>1125</v>
      </c>
      <c r="J352">
        <v>437.5</v>
      </c>
      <c r="N352" t="s">
        <v>98</v>
      </c>
      <c r="O352" t="s">
        <v>99</v>
      </c>
      <c r="Y352">
        <v>1</v>
      </c>
      <c r="Z352">
        <v>0</v>
      </c>
      <c r="AA352">
        <v>6</v>
      </c>
      <c r="AB352">
        <v>4</v>
      </c>
      <c r="AC352">
        <f>750-AA352+Z352</f>
        <v>744</v>
      </c>
      <c r="AD352">
        <v>0</v>
      </c>
      <c r="AE352">
        <f>750+AD352-$AA352</f>
        <v>744</v>
      </c>
      <c r="AJ352">
        <v>0</v>
      </c>
      <c r="AK352">
        <f>750+AJ352-$AA352</f>
        <v>744</v>
      </c>
      <c r="AP352">
        <v>0</v>
      </c>
      <c r="AQ352">
        <f>750+AP352-$AA352</f>
        <v>744</v>
      </c>
    </row>
    <row r="353" spans="7:46">
      <c r="G353">
        <v>26</v>
      </c>
      <c r="H353">
        <v>1785</v>
      </c>
      <c r="I353">
        <v>1070</v>
      </c>
      <c r="J353">
        <v>355</v>
      </c>
      <c r="N353">
        <v>1</v>
      </c>
      <c r="O353">
        <v>227</v>
      </c>
      <c r="Y353">
        <v>2</v>
      </c>
      <c r="Z353">
        <v>0</v>
      </c>
      <c r="AA353">
        <v>6</v>
      </c>
      <c r="AB353">
        <v>4</v>
      </c>
      <c r="AC353">
        <f>AC352-AA353+Z353</f>
        <v>738</v>
      </c>
      <c r="AD353">
        <v>0</v>
      </c>
      <c r="AE353">
        <f>AE352+AD353-$AA353</f>
        <v>738</v>
      </c>
      <c r="AJ353">
        <v>0</v>
      </c>
      <c r="AK353">
        <f>AK352+AJ353-$AA353</f>
        <v>738</v>
      </c>
      <c r="AP353">
        <v>0</v>
      </c>
      <c r="AQ353">
        <f>AQ352+AP353-$AA353</f>
        <v>738</v>
      </c>
    </row>
    <row r="354" spans="7:46">
      <c r="G354">
        <v>27</v>
      </c>
      <c r="H354">
        <v>1757.5</v>
      </c>
      <c r="I354">
        <v>1015</v>
      </c>
      <c r="J354">
        <v>272.5</v>
      </c>
      <c r="N354">
        <v>2</v>
      </c>
      <c r="O354">
        <v>156</v>
      </c>
      <c r="Y354">
        <v>3</v>
      </c>
      <c r="Z354">
        <v>0</v>
      </c>
      <c r="AA354">
        <v>11</v>
      </c>
      <c r="AB354">
        <v>6</v>
      </c>
      <c r="AC354">
        <f t="shared" ref="AC354:AC375" si="31">AC353-AA354+Z354</f>
        <v>727</v>
      </c>
      <c r="AD354">
        <v>0</v>
      </c>
      <c r="AE354">
        <f t="shared" ref="AE354:AE375" si="32">AE353+AD354-$AA354</f>
        <v>727</v>
      </c>
      <c r="AJ354">
        <v>0</v>
      </c>
      <c r="AK354">
        <f t="shared" ref="AK354:AK375" si="33">AK353+AJ354-$AA354</f>
        <v>727</v>
      </c>
      <c r="AP354">
        <v>0</v>
      </c>
      <c r="AQ354">
        <f t="shared" ref="AQ354:AQ375" si="34">AQ353+AP354-$AA354</f>
        <v>727</v>
      </c>
    </row>
    <row r="355" spans="7:46">
      <c r="G355">
        <v>28</v>
      </c>
      <c r="H355">
        <v>1730</v>
      </c>
      <c r="I355">
        <v>960</v>
      </c>
      <c r="J355">
        <v>190</v>
      </c>
      <c r="N355">
        <v>3</v>
      </c>
      <c r="O355">
        <v>109</v>
      </c>
      <c r="Y355">
        <v>4</v>
      </c>
      <c r="Z355">
        <v>0</v>
      </c>
      <c r="AA355">
        <v>11</v>
      </c>
      <c r="AB355">
        <v>6</v>
      </c>
      <c r="AC355">
        <f t="shared" si="31"/>
        <v>716</v>
      </c>
      <c r="AD355">
        <v>0</v>
      </c>
      <c r="AE355">
        <f t="shared" si="32"/>
        <v>716</v>
      </c>
      <c r="AJ355">
        <v>0</v>
      </c>
      <c r="AK355">
        <f t="shared" si="33"/>
        <v>716</v>
      </c>
      <c r="AP355">
        <v>0</v>
      </c>
      <c r="AQ355">
        <f t="shared" si="34"/>
        <v>716</v>
      </c>
    </row>
    <row r="356" spans="7:46">
      <c r="G356">
        <v>29</v>
      </c>
      <c r="H356">
        <v>1702.5</v>
      </c>
      <c r="I356">
        <v>905</v>
      </c>
      <c r="J356">
        <v>107.5</v>
      </c>
      <c r="N356">
        <v>4</v>
      </c>
      <c r="O356">
        <v>84</v>
      </c>
      <c r="Y356">
        <v>5</v>
      </c>
      <c r="Z356">
        <v>0</v>
      </c>
      <c r="AA356">
        <v>11</v>
      </c>
      <c r="AB356">
        <v>6</v>
      </c>
      <c r="AC356">
        <f t="shared" si="31"/>
        <v>705</v>
      </c>
      <c r="AD356">
        <v>0</v>
      </c>
      <c r="AE356">
        <f t="shared" si="32"/>
        <v>705</v>
      </c>
      <c r="AJ356">
        <v>0</v>
      </c>
      <c r="AK356">
        <f t="shared" si="33"/>
        <v>705</v>
      </c>
      <c r="AP356">
        <v>0</v>
      </c>
      <c r="AQ356">
        <f t="shared" si="34"/>
        <v>705</v>
      </c>
    </row>
    <row r="357" spans="7:46">
      <c r="G357">
        <v>30</v>
      </c>
      <c r="H357">
        <v>1675</v>
      </c>
      <c r="I357">
        <v>850</v>
      </c>
      <c r="J357">
        <v>25</v>
      </c>
      <c r="N357">
        <v>5</v>
      </c>
      <c r="O357">
        <v>63</v>
      </c>
      <c r="Y357">
        <v>6</v>
      </c>
      <c r="Z357">
        <v>0</v>
      </c>
      <c r="AA357">
        <v>11</v>
      </c>
      <c r="AB357">
        <v>6</v>
      </c>
      <c r="AC357">
        <f t="shared" si="31"/>
        <v>694</v>
      </c>
      <c r="AD357">
        <v>0</v>
      </c>
      <c r="AE357">
        <f t="shared" si="32"/>
        <v>694</v>
      </c>
      <c r="AJ357">
        <v>0</v>
      </c>
      <c r="AK357">
        <f t="shared" si="33"/>
        <v>694</v>
      </c>
      <c r="AP357">
        <v>0</v>
      </c>
      <c r="AQ357">
        <f t="shared" si="34"/>
        <v>694</v>
      </c>
    </row>
    <row r="358" spans="7:46">
      <c r="G358">
        <v>31</v>
      </c>
      <c r="H358">
        <v>1647.5</v>
      </c>
      <c r="I358">
        <v>795</v>
      </c>
      <c r="J358">
        <v>0</v>
      </c>
      <c r="N358">
        <v>6</v>
      </c>
      <c r="O358">
        <v>62</v>
      </c>
      <c r="Y358">
        <v>7</v>
      </c>
      <c r="Z358">
        <v>7</v>
      </c>
      <c r="AA358">
        <v>11</v>
      </c>
      <c r="AB358">
        <v>6</v>
      </c>
      <c r="AC358">
        <f t="shared" si="31"/>
        <v>690</v>
      </c>
      <c r="AD358">
        <v>6</v>
      </c>
      <c r="AE358">
        <f t="shared" si="32"/>
        <v>689</v>
      </c>
      <c r="AJ358">
        <v>4</v>
      </c>
      <c r="AK358">
        <f t="shared" si="33"/>
        <v>687</v>
      </c>
      <c r="AP358">
        <v>9</v>
      </c>
      <c r="AQ358">
        <f t="shared" si="34"/>
        <v>692</v>
      </c>
    </row>
    <row r="359" spans="7:46">
      <c r="G359">
        <v>32</v>
      </c>
      <c r="H359">
        <v>1620</v>
      </c>
      <c r="I359">
        <v>740</v>
      </c>
      <c r="N359">
        <v>7</v>
      </c>
      <c r="O359">
        <v>63</v>
      </c>
      <c r="Y359">
        <v>8</v>
      </c>
      <c r="Z359">
        <v>16</v>
      </c>
      <c r="AA359">
        <v>11</v>
      </c>
      <c r="AB359">
        <v>6</v>
      </c>
      <c r="AC359">
        <f t="shared" si="31"/>
        <v>695</v>
      </c>
      <c r="AD359">
        <v>13</v>
      </c>
      <c r="AE359">
        <f t="shared" si="32"/>
        <v>691</v>
      </c>
      <c r="AJ359">
        <v>8</v>
      </c>
      <c r="AK359">
        <f t="shared" si="33"/>
        <v>684</v>
      </c>
      <c r="AP359">
        <v>19</v>
      </c>
      <c r="AQ359">
        <f t="shared" si="34"/>
        <v>700</v>
      </c>
    </row>
    <row r="360" spans="7:46">
      <c r="G360">
        <v>33</v>
      </c>
      <c r="H360">
        <v>1592.5</v>
      </c>
      <c r="I360">
        <v>685</v>
      </c>
      <c r="N360">
        <v>8</v>
      </c>
      <c r="O360">
        <v>65</v>
      </c>
      <c r="Y360">
        <v>9</v>
      </c>
      <c r="Z360">
        <v>29</v>
      </c>
      <c r="AA360">
        <v>27</v>
      </c>
      <c r="AB360">
        <v>10</v>
      </c>
      <c r="AC360">
        <f t="shared" si="31"/>
        <v>697</v>
      </c>
      <c r="AD360">
        <v>23</v>
      </c>
      <c r="AE360">
        <f t="shared" si="32"/>
        <v>687</v>
      </c>
      <c r="AJ360">
        <v>15</v>
      </c>
      <c r="AK360">
        <f t="shared" si="33"/>
        <v>672</v>
      </c>
      <c r="AP360">
        <v>35</v>
      </c>
      <c r="AQ360">
        <f t="shared" si="34"/>
        <v>708</v>
      </c>
    </row>
    <row r="361" spans="7:46">
      <c r="G361">
        <v>34</v>
      </c>
      <c r="H361">
        <v>1565</v>
      </c>
      <c r="I361">
        <v>630</v>
      </c>
      <c r="N361">
        <v>9</v>
      </c>
      <c r="O361">
        <v>84</v>
      </c>
      <c r="Y361">
        <v>10</v>
      </c>
      <c r="Z361">
        <v>28</v>
      </c>
      <c r="AA361">
        <v>27</v>
      </c>
      <c r="AB361">
        <v>10</v>
      </c>
      <c r="AC361">
        <f t="shared" si="31"/>
        <v>698</v>
      </c>
      <c r="AD361">
        <v>22</v>
      </c>
      <c r="AE361">
        <f t="shared" si="32"/>
        <v>682</v>
      </c>
      <c r="AJ361">
        <v>14</v>
      </c>
      <c r="AK361">
        <f t="shared" si="33"/>
        <v>659</v>
      </c>
      <c r="AP361">
        <v>33</v>
      </c>
      <c r="AQ361">
        <f t="shared" si="34"/>
        <v>714</v>
      </c>
    </row>
    <row r="362" spans="7:46">
      <c r="G362">
        <v>35</v>
      </c>
      <c r="H362">
        <v>1537.5</v>
      </c>
      <c r="I362">
        <v>575</v>
      </c>
      <c r="N362">
        <v>10</v>
      </c>
      <c r="O362">
        <v>107</v>
      </c>
      <c r="Y362">
        <v>11</v>
      </c>
      <c r="Z362">
        <v>25</v>
      </c>
      <c r="AA362">
        <v>27</v>
      </c>
      <c r="AB362">
        <v>10</v>
      </c>
      <c r="AC362">
        <f t="shared" si="31"/>
        <v>696</v>
      </c>
      <c r="AD362">
        <v>20</v>
      </c>
      <c r="AE362">
        <f t="shared" si="32"/>
        <v>675</v>
      </c>
      <c r="AJ362">
        <v>12</v>
      </c>
      <c r="AK362">
        <f t="shared" si="33"/>
        <v>644</v>
      </c>
      <c r="AP362">
        <v>30</v>
      </c>
      <c r="AQ362">
        <f t="shared" si="34"/>
        <v>717</v>
      </c>
    </row>
    <row r="363" spans="7:46">
      <c r="G363">
        <v>36</v>
      </c>
      <c r="H363">
        <v>1510</v>
      </c>
      <c r="I363">
        <v>520</v>
      </c>
      <c r="N363">
        <v>11</v>
      </c>
      <c r="O363">
        <v>155</v>
      </c>
      <c r="Y363">
        <v>12</v>
      </c>
      <c r="Z363">
        <v>68</v>
      </c>
      <c r="AA363">
        <v>27</v>
      </c>
      <c r="AB363">
        <v>10</v>
      </c>
      <c r="AC363">
        <f t="shared" si="31"/>
        <v>737</v>
      </c>
      <c r="AD363">
        <v>54</v>
      </c>
      <c r="AE363">
        <f t="shared" si="32"/>
        <v>702</v>
      </c>
      <c r="AJ363">
        <v>34</v>
      </c>
      <c r="AK363">
        <f t="shared" si="33"/>
        <v>651</v>
      </c>
      <c r="AP363">
        <v>81</v>
      </c>
      <c r="AQ363">
        <f t="shared" si="34"/>
        <v>771</v>
      </c>
    </row>
    <row r="364" spans="7:46">
      <c r="G364">
        <v>37</v>
      </c>
      <c r="H364">
        <v>1482.5</v>
      </c>
      <c r="I364">
        <v>465</v>
      </c>
      <c r="N364">
        <v>12</v>
      </c>
      <c r="O364">
        <v>228</v>
      </c>
      <c r="Y364">
        <v>13</v>
      </c>
      <c r="Z364">
        <v>80</v>
      </c>
      <c r="AA364">
        <v>27</v>
      </c>
      <c r="AB364">
        <v>10</v>
      </c>
      <c r="AC364">
        <f t="shared" si="31"/>
        <v>790</v>
      </c>
      <c r="AD364">
        <v>64</v>
      </c>
      <c r="AE364">
        <f t="shared" si="32"/>
        <v>739</v>
      </c>
      <c r="AF364">
        <v>6</v>
      </c>
      <c r="AG364">
        <v>4</v>
      </c>
      <c r="AH364">
        <f>AE363+AD364-AF364</f>
        <v>760</v>
      </c>
      <c r="AJ364">
        <v>40</v>
      </c>
      <c r="AK364">
        <f t="shared" si="33"/>
        <v>664</v>
      </c>
      <c r="AL364">
        <v>6</v>
      </c>
      <c r="AM364">
        <v>4</v>
      </c>
      <c r="AN364">
        <f>AK363+AJ364-AL364</f>
        <v>685</v>
      </c>
      <c r="AP364">
        <v>97</v>
      </c>
      <c r="AQ364">
        <f t="shared" si="34"/>
        <v>841</v>
      </c>
      <c r="AR364">
        <v>11</v>
      </c>
      <c r="AS364">
        <v>6</v>
      </c>
      <c r="AT364">
        <f>AQ363+AP364-AR364</f>
        <v>857</v>
      </c>
    </row>
    <row r="365" spans="7:46">
      <c r="G365">
        <v>38</v>
      </c>
      <c r="H365">
        <v>1455</v>
      </c>
      <c r="I365">
        <v>410</v>
      </c>
      <c r="Y365">
        <v>14</v>
      </c>
      <c r="Z365">
        <v>75</v>
      </c>
      <c r="AA365">
        <v>27</v>
      </c>
      <c r="AB365">
        <v>10</v>
      </c>
      <c r="AC365">
        <f t="shared" si="31"/>
        <v>838</v>
      </c>
      <c r="AD365">
        <v>60</v>
      </c>
      <c r="AE365">
        <f t="shared" si="32"/>
        <v>772</v>
      </c>
      <c r="AF365">
        <v>6</v>
      </c>
      <c r="AG365">
        <v>4</v>
      </c>
      <c r="AH365">
        <f>AH364+AD365-AF365</f>
        <v>814</v>
      </c>
      <c r="AJ365">
        <v>38</v>
      </c>
      <c r="AK365">
        <f t="shared" si="33"/>
        <v>675</v>
      </c>
      <c r="AL365">
        <v>6</v>
      </c>
      <c r="AM365">
        <v>4</v>
      </c>
      <c r="AN365">
        <f>AN364+AJ365-AL365</f>
        <v>717</v>
      </c>
      <c r="AP365">
        <v>90</v>
      </c>
      <c r="AQ365">
        <f t="shared" si="34"/>
        <v>904</v>
      </c>
      <c r="AR365">
        <v>27</v>
      </c>
      <c r="AS365">
        <v>10</v>
      </c>
      <c r="AT365">
        <f>AT364+AP365-AR365</f>
        <v>920</v>
      </c>
    </row>
    <row r="366" spans="7:46">
      <c r="G366">
        <v>39</v>
      </c>
      <c r="H366">
        <v>1427.5</v>
      </c>
      <c r="I366">
        <v>355</v>
      </c>
      <c r="Y366">
        <v>15</v>
      </c>
      <c r="Z366">
        <v>97</v>
      </c>
      <c r="AA366">
        <v>27</v>
      </c>
      <c r="AB366">
        <v>10</v>
      </c>
      <c r="AC366">
        <f t="shared" si="31"/>
        <v>908</v>
      </c>
      <c r="AD366">
        <v>78</v>
      </c>
      <c r="AE366">
        <f t="shared" si="32"/>
        <v>823</v>
      </c>
      <c r="AF366">
        <v>11</v>
      </c>
      <c r="AG366">
        <v>6</v>
      </c>
      <c r="AH366">
        <f t="shared" ref="AH366:AH375" si="35">AH365+AD366-AF366</f>
        <v>881</v>
      </c>
      <c r="AJ366">
        <v>49</v>
      </c>
      <c r="AK366">
        <f t="shared" si="33"/>
        <v>697</v>
      </c>
      <c r="AL366">
        <v>6</v>
      </c>
      <c r="AM366">
        <v>4</v>
      </c>
      <c r="AN366">
        <f t="shared" ref="AN366:AN375" si="36">AN365+AJ366-AL366</f>
        <v>760</v>
      </c>
      <c r="AP366">
        <v>116</v>
      </c>
      <c r="AQ366">
        <f t="shared" si="34"/>
        <v>993</v>
      </c>
      <c r="AR366">
        <v>53</v>
      </c>
      <c r="AS366">
        <v>14</v>
      </c>
      <c r="AT366">
        <f t="shared" ref="AT366:AT375" si="37">AT365+AP366-AR366</f>
        <v>983</v>
      </c>
    </row>
    <row r="367" spans="7:46">
      <c r="G367">
        <v>40</v>
      </c>
      <c r="H367">
        <v>1400</v>
      </c>
      <c r="I367">
        <v>300</v>
      </c>
      <c r="Y367">
        <v>16</v>
      </c>
      <c r="Z367">
        <v>63</v>
      </c>
      <c r="AA367">
        <v>27</v>
      </c>
      <c r="AB367">
        <v>10</v>
      </c>
      <c r="AC367">
        <f t="shared" si="31"/>
        <v>944</v>
      </c>
      <c r="AD367">
        <v>51</v>
      </c>
      <c r="AE367">
        <f t="shared" si="32"/>
        <v>847</v>
      </c>
      <c r="AF367">
        <v>11</v>
      </c>
      <c r="AG367">
        <v>6</v>
      </c>
      <c r="AH367">
        <f t="shared" si="35"/>
        <v>921</v>
      </c>
      <c r="AJ367">
        <v>32</v>
      </c>
      <c r="AK367">
        <f t="shared" si="33"/>
        <v>702</v>
      </c>
      <c r="AL367">
        <v>6</v>
      </c>
      <c r="AM367">
        <v>4</v>
      </c>
      <c r="AN367">
        <f t="shared" si="36"/>
        <v>786</v>
      </c>
      <c r="AP367">
        <v>76</v>
      </c>
      <c r="AQ367">
        <f t="shared" si="34"/>
        <v>1042</v>
      </c>
      <c r="AR367">
        <v>53</v>
      </c>
      <c r="AS367">
        <v>14</v>
      </c>
      <c r="AT367">
        <v>1000</v>
      </c>
    </row>
    <row r="368" spans="7:46">
      <c r="G368">
        <v>41</v>
      </c>
      <c r="H368">
        <v>1372.5</v>
      </c>
      <c r="I368">
        <v>245</v>
      </c>
      <c r="Y368">
        <v>17</v>
      </c>
      <c r="Z368">
        <v>12</v>
      </c>
      <c r="AA368">
        <v>27</v>
      </c>
      <c r="AB368">
        <v>10</v>
      </c>
      <c r="AC368">
        <f t="shared" si="31"/>
        <v>929</v>
      </c>
      <c r="AD368">
        <v>9</v>
      </c>
      <c r="AE368">
        <f t="shared" si="32"/>
        <v>829</v>
      </c>
      <c r="AF368">
        <v>11</v>
      </c>
      <c r="AG368">
        <v>6</v>
      </c>
      <c r="AH368">
        <f t="shared" si="35"/>
        <v>919</v>
      </c>
      <c r="AJ368">
        <v>6</v>
      </c>
      <c r="AK368">
        <f t="shared" si="33"/>
        <v>681</v>
      </c>
      <c r="AL368">
        <v>6</v>
      </c>
      <c r="AM368">
        <v>4</v>
      </c>
      <c r="AN368">
        <f t="shared" si="36"/>
        <v>786</v>
      </c>
      <c r="AP368">
        <v>14</v>
      </c>
      <c r="AQ368">
        <f t="shared" si="34"/>
        <v>1029</v>
      </c>
      <c r="AR368">
        <v>27</v>
      </c>
      <c r="AS368">
        <v>10</v>
      </c>
      <c r="AT368">
        <f t="shared" si="37"/>
        <v>987</v>
      </c>
    </row>
    <row r="369" spans="7:46">
      <c r="G369">
        <v>42</v>
      </c>
      <c r="H369">
        <v>1345</v>
      </c>
      <c r="I369">
        <v>190</v>
      </c>
      <c r="Y369">
        <v>18</v>
      </c>
      <c r="Z369">
        <v>9</v>
      </c>
      <c r="AA369">
        <v>27</v>
      </c>
      <c r="AB369">
        <v>10</v>
      </c>
      <c r="AC369">
        <f t="shared" si="31"/>
        <v>911</v>
      </c>
      <c r="AD369">
        <v>7</v>
      </c>
      <c r="AE369">
        <f t="shared" si="32"/>
        <v>809</v>
      </c>
      <c r="AF369">
        <v>11</v>
      </c>
      <c r="AG369">
        <v>6</v>
      </c>
      <c r="AH369">
        <f t="shared" si="35"/>
        <v>915</v>
      </c>
      <c r="AJ369">
        <v>4</v>
      </c>
      <c r="AK369">
        <f t="shared" si="33"/>
        <v>658</v>
      </c>
      <c r="AL369">
        <v>6</v>
      </c>
      <c r="AM369">
        <v>4</v>
      </c>
      <c r="AN369">
        <f t="shared" si="36"/>
        <v>784</v>
      </c>
      <c r="AP369">
        <v>11</v>
      </c>
      <c r="AQ369">
        <f t="shared" si="34"/>
        <v>1013</v>
      </c>
      <c r="AR369">
        <v>27</v>
      </c>
      <c r="AS369">
        <v>10</v>
      </c>
      <c r="AT369">
        <f t="shared" si="37"/>
        <v>971</v>
      </c>
    </row>
    <row r="370" spans="7:46">
      <c r="G370">
        <v>43</v>
      </c>
      <c r="H370">
        <v>1317.5</v>
      </c>
      <c r="I370">
        <v>135</v>
      </c>
      <c r="Y370">
        <v>19</v>
      </c>
      <c r="Z370">
        <v>1</v>
      </c>
      <c r="AA370">
        <v>27</v>
      </c>
      <c r="AB370">
        <v>10</v>
      </c>
      <c r="AC370">
        <f t="shared" si="31"/>
        <v>885</v>
      </c>
      <c r="AD370">
        <v>0</v>
      </c>
      <c r="AE370">
        <f t="shared" si="32"/>
        <v>782</v>
      </c>
      <c r="AF370">
        <v>27</v>
      </c>
      <c r="AG370">
        <v>10</v>
      </c>
      <c r="AH370">
        <f t="shared" si="35"/>
        <v>888</v>
      </c>
      <c r="AJ370">
        <v>0</v>
      </c>
      <c r="AK370">
        <f t="shared" si="33"/>
        <v>631</v>
      </c>
      <c r="AL370">
        <v>6</v>
      </c>
      <c r="AM370">
        <v>4</v>
      </c>
      <c r="AN370">
        <f t="shared" si="36"/>
        <v>778</v>
      </c>
      <c r="AP370">
        <v>1</v>
      </c>
      <c r="AQ370">
        <f t="shared" si="34"/>
        <v>987</v>
      </c>
      <c r="AR370">
        <v>27</v>
      </c>
      <c r="AS370">
        <v>10</v>
      </c>
      <c r="AT370">
        <f t="shared" si="37"/>
        <v>945</v>
      </c>
    </row>
    <row r="371" spans="7:46">
      <c r="G371">
        <v>44</v>
      </c>
      <c r="H371">
        <v>1290</v>
      </c>
      <c r="I371">
        <v>80</v>
      </c>
      <c r="Y371">
        <v>20</v>
      </c>
      <c r="Z371">
        <v>0</v>
      </c>
      <c r="AA371">
        <v>27</v>
      </c>
      <c r="AB371">
        <v>10</v>
      </c>
      <c r="AC371">
        <f t="shared" si="31"/>
        <v>858</v>
      </c>
      <c r="AD371">
        <v>0</v>
      </c>
      <c r="AE371">
        <f t="shared" si="32"/>
        <v>755</v>
      </c>
      <c r="AF371">
        <v>27</v>
      </c>
      <c r="AG371">
        <v>10</v>
      </c>
      <c r="AH371">
        <f t="shared" si="35"/>
        <v>861</v>
      </c>
      <c r="AJ371">
        <v>0</v>
      </c>
      <c r="AK371">
        <f t="shared" si="33"/>
        <v>604</v>
      </c>
      <c r="AL371">
        <v>6</v>
      </c>
      <c r="AM371">
        <v>4</v>
      </c>
      <c r="AN371">
        <f t="shared" si="36"/>
        <v>772</v>
      </c>
      <c r="AP371">
        <v>0</v>
      </c>
      <c r="AQ371">
        <f t="shared" si="34"/>
        <v>960</v>
      </c>
      <c r="AR371">
        <v>27</v>
      </c>
      <c r="AS371">
        <v>10</v>
      </c>
      <c r="AT371">
        <f t="shared" si="37"/>
        <v>918</v>
      </c>
    </row>
    <row r="372" spans="7:46">
      <c r="G372">
        <v>45</v>
      </c>
      <c r="H372">
        <v>1262.5</v>
      </c>
      <c r="I372">
        <v>25</v>
      </c>
      <c r="Y372">
        <v>21</v>
      </c>
      <c r="Z372">
        <v>0</v>
      </c>
      <c r="AA372">
        <v>27</v>
      </c>
      <c r="AB372">
        <v>10</v>
      </c>
      <c r="AC372">
        <f t="shared" si="31"/>
        <v>831</v>
      </c>
      <c r="AD372">
        <v>0</v>
      </c>
      <c r="AE372">
        <f t="shared" si="32"/>
        <v>728</v>
      </c>
      <c r="AF372">
        <v>27</v>
      </c>
      <c r="AG372">
        <v>10</v>
      </c>
      <c r="AH372">
        <f t="shared" si="35"/>
        <v>834</v>
      </c>
      <c r="AJ372">
        <v>0</v>
      </c>
      <c r="AK372">
        <f t="shared" si="33"/>
        <v>577</v>
      </c>
      <c r="AL372">
        <v>6</v>
      </c>
      <c r="AM372">
        <v>4</v>
      </c>
      <c r="AN372">
        <f t="shared" si="36"/>
        <v>766</v>
      </c>
      <c r="AP372">
        <v>0</v>
      </c>
      <c r="AQ372">
        <f t="shared" si="34"/>
        <v>933</v>
      </c>
      <c r="AR372">
        <v>27</v>
      </c>
      <c r="AS372">
        <v>10</v>
      </c>
      <c r="AT372">
        <f t="shared" si="37"/>
        <v>891</v>
      </c>
    </row>
    <row r="373" spans="7:46">
      <c r="G373">
        <v>46</v>
      </c>
      <c r="H373">
        <v>1235</v>
      </c>
      <c r="I373">
        <v>0</v>
      </c>
      <c r="Y373">
        <v>22</v>
      </c>
      <c r="Z373">
        <v>0</v>
      </c>
      <c r="AA373">
        <v>27</v>
      </c>
      <c r="AB373">
        <v>10</v>
      </c>
      <c r="AC373">
        <f t="shared" si="31"/>
        <v>804</v>
      </c>
      <c r="AD373">
        <v>0</v>
      </c>
      <c r="AE373">
        <f t="shared" si="32"/>
        <v>701</v>
      </c>
      <c r="AF373">
        <v>27</v>
      </c>
      <c r="AG373">
        <v>10</v>
      </c>
      <c r="AH373">
        <f t="shared" si="35"/>
        <v>807</v>
      </c>
      <c r="AJ373">
        <v>0</v>
      </c>
      <c r="AK373">
        <f t="shared" si="33"/>
        <v>550</v>
      </c>
      <c r="AL373">
        <v>6</v>
      </c>
      <c r="AM373">
        <v>4</v>
      </c>
      <c r="AN373">
        <f t="shared" si="36"/>
        <v>760</v>
      </c>
      <c r="AP373">
        <v>0</v>
      </c>
      <c r="AQ373">
        <f t="shared" si="34"/>
        <v>906</v>
      </c>
      <c r="AR373">
        <v>27</v>
      </c>
      <c r="AS373">
        <v>10</v>
      </c>
      <c r="AT373">
        <f t="shared" si="37"/>
        <v>864</v>
      </c>
    </row>
    <row r="374" spans="7:46">
      <c r="G374">
        <v>47</v>
      </c>
      <c r="H374">
        <v>1207.5</v>
      </c>
      <c r="Y374">
        <v>23</v>
      </c>
      <c r="Z374">
        <v>0</v>
      </c>
      <c r="AA374">
        <v>27</v>
      </c>
      <c r="AB374">
        <v>10</v>
      </c>
      <c r="AC374">
        <f t="shared" si="31"/>
        <v>777</v>
      </c>
      <c r="AD374">
        <v>0</v>
      </c>
      <c r="AE374">
        <f t="shared" si="32"/>
        <v>674</v>
      </c>
      <c r="AF374">
        <v>27</v>
      </c>
      <c r="AG374">
        <v>10</v>
      </c>
      <c r="AH374">
        <f t="shared" si="35"/>
        <v>780</v>
      </c>
      <c r="AJ374">
        <v>0</v>
      </c>
      <c r="AK374">
        <f t="shared" si="33"/>
        <v>523</v>
      </c>
      <c r="AL374">
        <v>6</v>
      </c>
      <c r="AM374">
        <v>4</v>
      </c>
      <c r="AN374">
        <f t="shared" si="36"/>
        <v>754</v>
      </c>
      <c r="AP374">
        <v>0</v>
      </c>
      <c r="AQ374">
        <f t="shared" si="34"/>
        <v>879</v>
      </c>
      <c r="AR374">
        <v>53</v>
      </c>
      <c r="AS374">
        <v>14</v>
      </c>
      <c r="AT374">
        <f t="shared" si="37"/>
        <v>811</v>
      </c>
    </row>
    <row r="375" spans="7:46">
      <c r="G375">
        <v>48</v>
      </c>
      <c r="H375">
        <v>1180</v>
      </c>
      <c r="Y375">
        <v>24</v>
      </c>
      <c r="Z375">
        <v>0</v>
      </c>
      <c r="AA375">
        <v>27</v>
      </c>
      <c r="AB375">
        <v>10</v>
      </c>
      <c r="AC375">
        <f t="shared" si="31"/>
        <v>750</v>
      </c>
      <c r="AD375">
        <v>0</v>
      </c>
      <c r="AE375">
        <f t="shared" si="32"/>
        <v>647</v>
      </c>
      <c r="AF375">
        <v>27</v>
      </c>
      <c r="AG375">
        <v>10</v>
      </c>
      <c r="AH375">
        <f t="shared" si="35"/>
        <v>753</v>
      </c>
      <c r="AJ375">
        <v>0</v>
      </c>
      <c r="AK375">
        <f t="shared" si="33"/>
        <v>496</v>
      </c>
      <c r="AL375">
        <v>2</v>
      </c>
      <c r="AM375">
        <v>2</v>
      </c>
      <c r="AN375">
        <f t="shared" si="36"/>
        <v>752</v>
      </c>
      <c r="AP375">
        <v>0</v>
      </c>
      <c r="AQ375">
        <f t="shared" si="34"/>
        <v>852</v>
      </c>
      <c r="AR375">
        <v>53</v>
      </c>
      <c r="AS375">
        <v>14</v>
      </c>
      <c r="AT375">
        <f t="shared" si="37"/>
        <v>758</v>
      </c>
    </row>
    <row r="376" spans="7:46">
      <c r="G376">
        <v>49</v>
      </c>
      <c r="H376">
        <v>1152.5</v>
      </c>
      <c r="AB376">
        <f>SUM(AB352:AB375)</f>
        <v>204</v>
      </c>
      <c r="AG376">
        <f>SUM($AB352:$AB363)+SUM(AG364:AG375)</f>
        <v>176</v>
      </c>
      <c r="AM376">
        <f>SUM($AB352:$AB363)+SUM(AM364:AM375)</f>
        <v>130</v>
      </c>
      <c r="AS376">
        <f>SUM($AB352:$AB363)+SUM(AS364:AS375)</f>
        <v>216</v>
      </c>
    </row>
    <row r="377" spans="7:46">
      <c r="G377">
        <v>50</v>
      </c>
      <c r="H377">
        <v>1125</v>
      </c>
    </row>
    <row r="378" spans="7:46">
      <c r="G378">
        <v>51</v>
      </c>
      <c r="H378">
        <v>1097.5</v>
      </c>
      <c r="AF378">
        <v>204</v>
      </c>
    </row>
    <row r="379" spans="7:46">
      <c r="G379">
        <v>52</v>
      </c>
      <c r="H379">
        <v>1070</v>
      </c>
    </row>
    <row r="380" spans="7:46">
      <c r="G380">
        <v>53</v>
      </c>
      <c r="H380">
        <v>1042.5</v>
      </c>
    </row>
    <row r="381" spans="7:46">
      <c r="G381">
        <v>54</v>
      </c>
      <c r="H381">
        <v>1015</v>
      </c>
    </row>
    <row r="382" spans="7:46">
      <c r="G382">
        <v>55</v>
      </c>
      <c r="H382">
        <v>987.5</v>
      </c>
    </row>
    <row r="383" spans="7:46">
      <c r="G383">
        <v>56</v>
      </c>
      <c r="H383">
        <v>960</v>
      </c>
    </row>
    <row r="384" spans="7:46">
      <c r="G384">
        <v>57</v>
      </c>
      <c r="H384">
        <v>932.5</v>
      </c>
    </row>
    <row r="385" spans="7:8">
      <c r="G385">
        <v>58</v>
      </c>
      <c r="H385">
        <v>905</v>
      </c>
    </row>
    <row r="386" spans="7:8">
      <c r="G386">
        <v>59</v>
      </c>
      <c r="H386">
        <v>877.5</v>
      </c>
    </row>
    <row r="387" spans="7:8">
      <c r="G387">
        <v>60</v>
      </c>
      <c r="H387">
        <v>850</v>
      </c>
    </row>
    <row r="388" spans="7:8">
      <c r="G388">
        <v>61</v>
      </c>
      <c r="H388">
        <v>822.5</v>
      </c>
    </row>
    <row r="389" spans="7:8">
      <c r="G389">
        <v>62</v>
      </c>
      <c r="H389">
        <v>795</v>
      </c>
    </row>
    <row r="390" spans="7:8">
      <c r="G390">
        <v>63</v>
      </c>
      <c r="H390">
        <v>767.5</v>
      </c>
    </row>
    <row r="391" spans="7:8">
      <c r="G391">
        <v>64</v>
      </c>
      <c r="H391">
        <v>740</v>
      </c>
    </row>
    <row r="392" spans="7:8">
      <c r="G392">
        <v>65</v>
      </c>
      <c r="H392">
        <v>712.5</v>
      </c>
    </row>
    <row r="393" spans="7:8">
      <c r="G393">
        <v>66</v>
      </c>
      <c r="H393">
        <v>685</v>
      </c>
    </row>
    <row r="394" spans="7:8">
      <c r="G394">
        <v>67</v>
      </c>
      <c r="H394">
        <v>657.5</v>
      </c>
    </row>
    <row r="395" spans="7:8">
      <c r="G395">
        <v>68</v>
      </c>
      <c r="H395">
        <v>630</v>
      </c>
    </row>
    <row r="396" spans="7:8">
      <c r="G396">
        <v>69</v>
      </c>
      <c r="H396">
        <v>602.5</v>
      </c>
    </row>
    <row r="397" spans="7:8">
      <c r="G397">
        <v>70</v>
      </c>
      <c r="H397">
        <v>575</v>
      </c>
    </row>
    <row r="398" spans="7:8">
      <c r="G398">
        <v>71</v>
      </c>
      <c r="H398">
        <v>547.5</v>
      </c>
    </row>
    <row r="399" spans="7:8">
      <c r="G399">
        <v>72</v>
      </c>
      <c r="H399">
        <v>520</v>
      </c>
    </row>
    <row r="400" spans="7:8">
      <c r="G400">
        <v>73</v>
      </c>
      <c r="H400">
        <v>492.5</v>
      </c>
    </row>
    <row r="401" spans="7:8">
      <c r="G401">
        <v>74</v>
      </c>
      <c r="H401">
        <v>465</v>
      </c>
    </row>
    <row r="402" spans="7:8">
      <c r="G402">
        <v>75</v>
      </c>
      <c r="H402">
        <v>437.5</v>
      </c>
    </row>
    <row r="403" spans="7:8">
      <c r="G403">
        <v>76</v>
      </c>
      <c r="H403">
        <v>410</v>
      </c>
    </row>
    <row r="404" spans="7:8">
      <c r="G404">
        <v>77</v>
      </c>
      <c r="H404">
        <v>382.5</v>
      </c>
    </row>
    <row r="405" spans="7:8">
      <c r="G405">
        <v>78</v>
      </c>
      <c r="H405">
        <v>355</v>
      </c>
    </row>
    <row r="406" spans="7:8">
      <c r="G406">
        <v>79</v>
      </c>
      <c r="H406">
        <v>327.5</v>
      </c>
    </row>
    <row r="407" spans="7:8">
      <c r="G407">
        <v>80</v>
      </c>
      <c r="H407">
        <v>300</v>
      </c>
    </row>
    <row r="408" spans="7:8">
      <c r="G408">
        <v>81</v>
      </c>
      <c r="H408">
        <v>272.5</v>
      </c>
    </row>
    <row r="409" spans="7:8">
      <c r="G409">
        <v>82</v>
      </c>
      <c r="H409">
        <v>245</v>
      </c>
    </row>
    <row r="410" spans="7:8">
      <c r="G410">
        <v>83</v>
      </c>
      <c r="H410">
        <v>217.5</v>
      </c>
    </row>
    <row r="411" spans="7:8">
      <c r="G411">
        <v>84</v>
      </c>
      <c r="H411">
        <v>190</v>
      </c>
    </row>
    <row r="412" spans="7:8">
      <c r="G412">
        <v>85</v>
      </c>
      <c r="H412">
        <v>162.5</v>
      </c>
    </row>
    <row r="413" spans="7:8">
      <c r="G413">
        <v>86</v>
      </c>
      <c r="H413">
        <v>135</v>
      </c>
    </row>
    <row r="414" spans="7:8">
      <c r="G414">
        <v>87</v>
      </c>
      <c r="H414">
        <v>107.5</v>
      </c>
    </row>
    <row r="415" spans="7:8">
      <c r="G415">
        <v>88</v>
      </c>
      <c r="H415">
        <v>80</v>
      </c>
    </row>
    <row r="416" spans="7:8">
      <c r="G416">
        <v>89</v>
      </c>
      <c r="H416">
        <v>52.5</v>
      </c>
    </row>
    <row r="417" spans="7:8">
      <c r="G417">
        <v>90</v>
      </c>
      <c r="H417">
        <v>25</v>
      </c>
    </row>
    <row r="418" spans="7:8">
      <c r="G418">
        <v>91</v>
      </c>
      <c r="H418">
        <v>0</v>
      </c>
    </row>
  </sheetData>
  <phoneticPr fontId="1" type="noConversion"/>
  <hyperlinks>
    <hyperlink ref="K237" r:id="rId1" xr:uid="{9AC141C6-96EE-44B7-9918-C34AE04C496C}"/>
  </hyperlinks>
  <pageMargins left="0.7" right="0.7" top="0.78740157499999996" bottom="0.78740157499999996" header="0.3" footer="0.3"/>
  <pageSetup orientation="portrait" horizontalDpi="4294967293" verticalDpi="0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Roman Riazanоv</dc:creator>
  <cp:lastModifiedBy>Roman Riazanоv</cp:lastModifiedBy>
  <dcterms:created xsi:type="dcterms:W3CDTF">2025-11-25T10:09:03Z</dcterms:created>
  <dcterms:modified xsi:type="dcterms:W3CDTF">2026-03-13T14:10:17Z</dcterms:modified>
</cp:coreProperties>
</file>